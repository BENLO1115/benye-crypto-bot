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儀表板" sheetId="1" state="visible" r:id="rId1"/>
    <sheet name="📝 記帳明細" sheetId="2" state="visible" r:id="rId2"/>
    <sheet name="📅 月份摘要" sheetId="3" state="visible" r:id="rId3"/>
    <sheet name="💡 預算管理" sheetId="4" state="visible" r:id="rId4"/>
    <sheet name="📖 使用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NT$#,##0"/>
    <numFmt numFmtId="165" formatCode="0.0%"/>
    <numFmt numFmtId="166" formatCode="[Red]-#,##0;[Green]#,##0"/>
  </numFmts>
  <fonts count="32">
    <font>
      <name val="Calibri"/>
      <family val="2"/>
      <color theme="1"/>
      <sz val="11"/>
      <scheme val="minor"/>
    </font>
    <font>
      <name val="微軟正黑體"/>
      <b val="1"/>
      <color rgb="00FFFFFF"/>
      <sz val="22"/>
    </font>
    <font>
      <name val="Calibri"/>
      <color rgb="0090CAF9"/>
      <sz val="11"/>
    </font>
    <font>
      <name val="Calibri"/>
      <b val="1"/>
      <color rgb="000D7377"/>
      <sz val="10"/>
    </font>
    <font>
      <name val="Calibri"/>
      <b val="1"/>
      <color rgb="000D7377"/>
      <sz val="16"/>
    </font>
    <font>
      <name val="Calibri"/>
      <b val="1"/>
      <color rgb="002176FF"/>
      <sz val="10"/>
    </font>
    <font>
      <name val="Calibri"/>
      <b val="1"/>
      <color rgb="002176FF"/>
      <sz val="16"/>
    </font>
    <font>
      <name val="Calibri"/>
      <b val="1"/>
      <color rgb="007B2FBE"/>
      <sz val="10"/>
    </font>
    <font>
      <name val="Calibri"/>
      <b val="1"/>
      <color rgb="007B2FBE"/>
      <sz val="16"/>
    </font>
    <font>
      <name val="Calibri"/>
      <b val="1"/>
      <color rgb="00F4A261"/>
      <sz val="10"/>
    </font>
    <font>
      <name val="Calibri"/>
      <b val="1"/>
      <color rgb="00F4A261"/>
      <sz val="16"/>
    </font>
    <font>
      <name val="Calibri"/>
      <b val="1"/>
      <color rgb="002DC653"/>
      <sz val="10"/>
    </font>
    <font>
      <name val="Calibri"/>
      <b val="1"/>
      <color rgb="002DC653"/>
      <sz val="16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E293B"/>
      <sz val="11"/>
    </font>
    <font>
      <name val="Calibri"/>
      <b val="1"/>
      <color rgb="00E63946"/>
      <sz val="11"/>
    </font>
    <font>
      <name val="微軟正黑體"/>
      <b val="1"/>
      <color rgb="00FFFFFF"/>
      <sz val="16"/>
    </font>
    <font>
      <name val="Calibri"/>
      <color rgb="001E293B"/>
      <sz val="10"/>
    </font>
    <font>
      <name val="Calibri"/>
      <b val="1"/>
      <color rgb="001E293B"/>
      <sz val="10"/>
    </font>
    <font>
      <name val="Calibri"/>
      <b val="1"/>
      <color rgb="00E63946"/>
      <sz val="10"/>
    </font>
    <font>
      <name val="Calibri"/>
      <color rgb="0064748B"/>
      <sz val="10"/>
    </font>
    <font>
      <name val="Calibri"/>
      <b val="1"/>
      <color rgb="001B2A4A"/>
      <sz val="10"/>
    </font>
    <font>
      <name val="Calibri"/>
      <b val="1"/>
      <color rgb="002DC653"/>
      <sz val="14"/>
    </font>
    <font>
      <name val="Calibri"/>
      <b val="1"/>
      <color rgb="00E63946"/>
      <sz val="14"/>
    </font>
    <font>
      <name val="Calibri"/>
      <b val="1"/>
      <color rgb="0064748B"/>
      <sz val="14"/>
    </font>
    <font>
      <name val="Calibri"/>
      <b val="1"/>
      <color rgb="00F4A261"/>
      <sz val="11"/>
    </font>
    <font>
      <name val="Calibri"/>
      <b val="1"/>
      <color rgb="00F4A261"/>
      <sz val="12"/>
    </font>
    <font>
      <name val="Calibri"/>
      <b val="1"/>
      <color rgb="002DC653"/>
      <sz val="12"/>
    </font>
    <font>
      <name val="Calibri"/>
      <b val="1"/>
      <color rgb="000D7377"/>
      <sz val="12"/>
    </font>
    <font>
      <name val="微軟正黑體"/>
      <b val="1"/>
      <color rgb="00FFFFFF"/>
      <sz val="18"/>
    </font>
    <font>
      <name val="Calibri"/>
      <b val="1"/>
      <color rgb="00FFFFFF"/>
      <sz val="13"/>
    </font>
  </fonts>
  <fills count="4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9F2EF"/>
      </patternFill>
    </fill>
    <fill>
      <patternFill patternType="solid">
        <fgColor rgb="000D7377"/>
      </patternFill>
    </fill>
    <fill>
      <patternFill patternType="solid">
        <fgColor rgb="00E8F0FF"/>
      </patternFill>
    </fill>
    <fill>
      <patternFill patternType="solid">
        <fgColor rgb="002176FF"/>
      </patternFill>
    </fill>
    <fill>
      <patternFill patternType="solid">
        <fgColor rgb="00F3E8FF"/>
      </patternFill>
    </fill>
    <fill>
      <patternFill patternType="solid">
        <fgColor rgb="007B2FBE"/>
      </patternFill>
    </fill>
    <fill>
      <patternFill patternType="solid">
        <fgColor rgb="00FEF3E8"/>
      </patternFill>
    </fill>
    <fill>
      <patternFill patternType="solid">
        <fgColor rgb="00F4A261"/>
      </patternFill>
    </fill>
    <fill>
      <patternFill patternType="solid">
        <fgColor rgb="00E6F9EC"/>
      </patternFill>
    </fill>
    <fill>
      <patternFill patternType="solid">
        <fgColor rgb="002DC653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FF6B6B55"/>
      </patternFill>
    </fill>
    <fill>
      <patternFill patternType="solid">
        <fgColor rgb="4ECDC455"/>
      </patternFill>
    </fill>
    <fill>
      <patternFill patternType="solid">
        <fgColor rgb="FFEAA755"/>
      </patternFill>
    </fill>
    <fill>
      <patternFill patternType="solid">
        <fgColor rgb="96CEB455"/>
      </patternFill>
    </fill>
    <fill>
      <patternFill patternType="solid">
        <fgColor rgb="DDA0DD55"/>
      </patternFill>
    </fill>
    <fill>
      <patternFill patternType="solid">
        <fgColor rgb="45B7D155"/>
      </patternFill>
    </fill>
    <fill>
      <patternFill patternType="solid">
        <fgColor rgb="98D8C855"/>
      </patternFill>
    </fill>
    <fill>
      <patternFill patternType="solid">
        <fgColor rgb="F7DC6F55"/>
      </patternFill>
    </fill>
    <fill>
      <patternFill patternType="solid">
        <fgColor rgb="82E0AA55"/>
      </patternFill>
    </fill>
    <fill>
      <patternFill patternType="solid">
        <fgColor rgb="AEB6BF55"/>
      </patternFill>
    </fill>
    <fill>
      <patternFill patternType="solid">
        <fgColor rgb="0064748B"/>
      </patternFill>
    </fill>
    <fill>
      <patternFill patternType="solid">
        <fgColor rgb="FF6B6B44"/>
      </patternFill>
    </fill>
    <fill>
      <patternFill patternType="solid">
        <fgColor rgb="4ECDC444"/>
      </patternFill>
    </fill>
    <fill>
      <patternFill patternType="solid">
        <fgColor rgb="45B7D144"/>
      </patternFill>
    </fill>
    <fill>
      <patternFill patternType="solid">
        <fgColor rgb="96CEB444"/>
      </patternFill>
    </fill>
    <fill>
      <patternFill patternType="solid">
        <fgColor rgb="FFEAA744"/>
      </patternFill>
    </fill>
    <fill>
      <patternFill patternType="solid">
        <fgColor rgb="DDA0DD44"/>
      </patternFill>
    </fill>
    <fill>
      <patternFill patternType="solid">
        <fgColor rgb="98D8C844"/>
      </patternFill>
    </fill>
    <fill>
      <patternFill patternType="solid">
        <fgColor rgb="F7DC6F44"/>
      </patternFill>
    </fill>
    <fill>
      <patternFill patternType="solid">
        <fgColor rgb="82E0AA44"/>
      </patternFill>
    </fill>
    <fill>
      <patternFill patternType="solid">
        <fgColor rgb="AEB6BF44"/>
      </patternFill>
    </fill>
    <fill>
      <patternFill patternType="solid">
        <fgColor rgb="FF6B6B33"/>
      </patternFill>
    </fill>
    <fill>
      <patternFill patternType="solid">
        <fgColor rgb="4ECDC433"/>
      </patternFill>
    </fill>
    <fill>
      <patternFill patternType="solid">
        <fgColor rgb="45B7D133"/>
      </patternFill>
    </fill>
    <fill>
      <patternFill patternType="solid">
        <fgColor rgb="96CEB433"/>
      </patternFill>
    </fill>
    <fill>
      <patternFill patternType="solid">
        <fgColor rgb="FFEAA733"/>
      </patternFill>
    </fill>
    <fill>
      <patternFill patternType="solid">
        <fgColor rgb="DDA0DD33"/>
      </patternFill>
    </fill>
    <fill>
      <patternFill patternType="solid">
        <fgColor rgb="98D8C833"/>
      </patternFill>
    </fill>
    <fill>
      <patternFill patternType="solid">
        <fgColor rgb="F7DC6F33"/>
      </patternFill>
    </fill>
    <fill>
      <patternFill patternType="solid">
        <fgColor rgb="82E0AA33"/>
      </patternFill>
    </fill>
    <fill>
      <patternFill patternType="solid">
        <fgColor rgb="AEB6BF3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bottom"/>
    </xf>
    <xf numFmtId="0" fontId="0" fillId="3" borderId="1" pivotButton="0" quotePrefix="0" xfId="0"/>
    <xf numFmtId="0" fontId="5" fillId="5" borderId="1" applyAlignment="1" pivotButton="0" quotePrefix="0" xfId="0">
      <alignment horizontal="center" vertical="bottom"/>
    </xf>
    <xf numFmtId="0" fontId="0" fillId="5" borderId="1" pivotButton="0" quotePrefix="0" xfId="0"/>
    <xf numFmtId="0" fontId="7" fillId="7" borderId="1" applyAlignment="1" pivotButton="0" quotePrefix="0" xfId="0">
      <alignment horizontal="center" vertical="bottom"/>
    </xf>
    <xf numFmtId="0" fontId="0" fillId="7" borderId="1" pivotButton="0" quotePrefix="0" xfId="0"/>
    <xf numFmtId="0" fontId="9" fillId="9" borderId="1" applyAlignment="1" pivotButton="0" quotePrefix="0" xfId="0">
      <alignment horizontal="center" vertical="bottom"/>
    </xf>
    <xf numFmtId="0" fontId="0" fillId="9" borderId="1" pivotButton="0" quotePrefix="0" xfId="0"/>
    <xf numFmtId="0" fontId="11" fillId="11" borderId="1" applyAlignment="1" pivotButton="0" quotePrefix="0" xfId="0">
      <alignment horizontal="center" vertical="bottom"/>
    </xf>
    <xf numFmtId="0" fontId="0" fillId="11" borderId="1" pivotButton="0" quotePrefix="0" xfId="0"/>
    <xf numFmtId="0" fontId="4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0" fillId="10" borderId="1" pivotButton="0" quotePrefix="0" xfId="0"/>
    <xf numFmtId="0" fontId="0" fillId="12" borderId="1" pivotButton="0" quotePrefix="0" xfId="0"/>
    <xf numFmtId="0" fontId="13" fillId="2" borderId="0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3" fontId="15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3" fontId="16" fillId="14" borderId="1" applyAlignment="1" pivotButton="0" quotePrefix="0" xfId="0">
      <alignment horizontal="center" vertical="center"/>
    </xf>
    <xf numFmtId="3" fontId="16" fillId="13" borderId="1" applyAlignment="1" pivotButton="0" quotePrefix="0" xfId="0">
      <alignment horizontal="center" vertical="center"/>
    </xf>
    <xf numFmtId="3" fontId="15" fillId="14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left" vertical="center"/>
    </xf>
    <xf numFmtId="3" fontId="19" fillId="14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left" vertical="center"/>
    </xf>
    <xf numFmtId="3" fontId="9" fillId="13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3" fontId="19" fillId="13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8" fillId="19" borderId="1" applyAlignment="1" pivotButton="0" quotePrefix="0" xfId="0">
      <alignment horizontal="center" vertical="center"/>
    </xf>
    <xf numFmtId="0" fontId="18" fillId="20" borderId="1" applyAlignment="1" pivotButton="0" quotePrefix="0" xfId="0">
      <alignment horizontal="center" vertical="center"/>
    </xf>
    <xf numFmtId="3" fontId="20" fillId="14" borderId="1" applyAlignment="1" pivotButton="0" quotePrefix="0" xfId="0">
      <alignment horizontal="center" vertical="center"/>
    </xf>
    <xf numFmtId="0" fontId="18" fillId="21" borderId="1" applyAlignment="1" pivotButton="0" quotePrefix="0" xfId="0">
      <alignment horizontal="center" vertical="center"/>
    </xf>
    <xf numFmtId="0" fontId="18" fillId="22" borderId="1" applyAlignment="1" pivotButton="0" quotePrefix="0" xfId="0">
      <alignment horizontal="center" vertical="center"/>
    </xf>
    <xf numFmtId="3" fontId="9" fillId="14" borderId="1" applyAlignment="1" pivotButton="0" quotePrefix="0" xfId="0">
      <alignment horizontal="center" vertical="center"/>
    </xf>
    <xf numFmtId="0" fontId="18" fillId="23" borderId="1" applyAlignment="1" pivotButton="0" quotePrefix="0" xfId="0">
      <alignment horizontal="center" vertical="center"/>
    </xf>
    <xf numFmtId="0" fontId="18" fillId="24" borderId="1" applyAlignment="1" pivotButton="0" quotePrefix="0" xfId="0">
      <alignment horizontal="center" vertical="center"/>
    </xf>
    <xf numFmtId="3" fontId="20" fillId="13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center" vertical="center"/>
    </xf>
    <xf numFmtId="0" fontId="0" fillId="2" borderId="1" pivotButton="0" quotePrefix="0" xfId="0"/>
    <xf numFmtId="0" fontId="14" fillId="2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25" borderId="1" applyAlignment="1" pivotButton="0" quotePrefix="0" xfId="0">
      <alignment horizontal="center" vertical="center"/>
    </xf>
    <xf numFmtId="0" fontId="22" fillId="26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164" fontId="18" fillId="14" borderId="1" applyAlignment="1" pivotButton="0" quotePrefix="0" xfId="0">
      <alignment horizontal="center" vertical="center"/>
    </xf>
    <xf numFmtId="165" fontId="18" fillId="14" borderId="1" applyAlignment="1" pivotButton="0" quotePrefix="0" xfId="0">
      <alignment horizontal="center" vertical="center"/>
    </xf>
    <xf numFmtId="0" fontId="23" fillId="14" borderId="1" applyAlignment="1" pivotButton="0" quotePrefix="0" xfId="0">
      <alignment horizontal="center" vertical="center"/>
    </xf>
    <xf numFmtId="0" fontId="22" fillId="27" borderId="1" applyAlignment="1" pivotButton="0" quotePrefix="0" xfId="0">
      <alignment horizontal="center" vertical="center"/>
    </xf>
    <xf numFmtId="164" fontId="18" fillId="13" borderId="1" applyAlignment="1" pivotButton="0" quotePrefix="0" xfId="0">
      <alignment horizontal="center" vertical="center"/>
    </xf>
    <xf numFmtId="165" fontId="18" fillId="13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center" vertical="center"/>
    </xf>
    <xf numFmtId="0" fontId="22" fillId="28" borderId="1" applyAlignment="1" pivotButton="0" quotePrefix="0" xfId="0">
      <alignment horizontal="center" vertical="center"/>
    </xf>
    <xf numFmtId="0" fontId="25" fillId="14" borderId="1" applyAlignment="1" pivotButton="0" quotePrefix="0" xfId="0">
      <alignment horizontal="center" vertical="center"/>
    </xf>
    <xf numFmtId="0" fontId="22" fillId="29" borderId="1" applyAlignment="1" pivotButton="0" quotePrefix="0" xfId="0">
      <alignment horizontal="center" vertical="center"/>
    </xf>
    <xf numFmtId="0" fontId="22" fillId="30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0" fontId="22" fillId="31" borderId="1" applyAlignment="1" pivotButton="0" quotePrefix="0" xfId="0">
      <alignment horizontal="center" vertical="center"/>
    </xf>
    <xf numFmtId="0" fontId="22" fillId="32" borderId="1" applyAlignment="1" pivotButton="0" quotePrefix="0" xfId="0">
      <alignment horizontal="center" vertical="center"/>
    </xf>
    <xf numFmtId="3" fontId="18" fillId="14" borderId="1" applyAlignment="1" pivotButton="0" quotePrefix="0" xfId="0">
      <alignment horizontal="center" vertical="center"/>
    </xf>
    <xf numFmtId="0" fontId="22" fillId="33" borderId="1" applyAlignment="1" pivotButton="0" quotePrefix="0" xfId="0">
      <alignment horizontal="center" vertical="center"/>
    </xf>
    <xf numFmtId="0" fontId="22" fillId="34" borderId="1" applyAlignment="1" pivotButton="0" quotePrefix="0" xfId="0">
      <alignment horizontal="center" vertical="center"/>
    </xf>
    <xf numFmtId="0" fontId="22" fillId="35" borderId="1" applyAlignment="1" pivotButton="0" quotePrefix="0" xfId="0">
      <alignment horizontal="center" vertical="center"/>
    </xf>
    <xf numFmtId="3" fontId="18" fillId="13" borderId="1" applyAlignment="1" pivotButton="0" quotePrefix="0" xfId="0">
      <alignment horizontal="center" vertical="center"/>
    </xf>
    <xf numFmtId="0" fontId="25" fillId="13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164" fontId="26" fillId="2" borderId="1" applyAlignment="1" pivotButton="0" quotePrefix="0" xfId="0">
      <alignment horizontal="center" vertical="center"/>
    </xf>
    <xf numFmtId="164" fontId="27" fillId="2" borderId="1" applyAlignment="1" pivotButton="0" quotePrefix="0" xfId="0">
      <alignment horizontal="center" vertical="center"/>
    </xf>
    <xf numFmtId="165" fontId="26" fillId="2" borderId="1" applyAlignment="1" pivotButton="0" quotePrefix="0" xfId="0">
      <alignment horizontal="center" vertical="center"/>
    </xf>
    <xf numFmtId="0" fontId="22" fillId="36" borderId="1" applyAlignment="1" pivotButton="0" quotePrefix="0" xfId="0">
      <alignment horizontal="center" vertical="center"/>
    </xf>
    <xf numFmtId="166" fontId="18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center" vertical="center"/>
    </xf>
    <xf numFmtId="0" fontId="22" fillId="37" borderId="1" applyAlignment="1" pivotButton="0" quotePrefix="0" xfId="0">
      <alignment horizontal="center" vertical="center"/>
    </xf>
    <xf numFmtId="166" fontId="18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8" fillId="13" borderId="1" applyAlignment="1" pivotButton="0" quotePrefix="0" xfId="0">
      <alignment horizontal="center" vertical="center"/>
    </xf>
    <xf numFmtId="0" fontId="22" fillId="38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0" fontId="22" fillId="39" borderId="1" applyAlignment="1" pivotButton="0" quotePrefix="0" xfId="0">
      <alignment horizontal="center" vertical="center"/>
    </xf>
    <xf numFmtId="0" fontId="22" fillId="40" borderId="1" applyAlignment="1" pivotButton="0" quotePrefix="0" xfId="0">
      <alignment horizontal="center" vertical="center"/>
    </xf>
    <xf numFmtId="0" fontId="22" fillId="41" borderId="1" applyAlignment="1" pivotButton="0" quotePrefix="0" xfId="0">
      <alignment horizontal="center" vertical="center"/>
    </xf>
    <xf numFmtId="0" fontId="22" fillId="42" borderId="1" applyAlignment="1" pivotButton="0" quotePrefix="0" xfId="0">
      <alignment horizontal="center" vertical="center"/>
    </xf>
    <xf numFmtId="0" fontId="22" fillId="4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29" fillId="13" borderId="1" applyAlignment="1" pivotButton="0" quotePrefix="0" xfId="0">
      <alignment horizontal="center" vertical="center"/>
    </xf>
    <xf numFmtId="0" fontId="22" fillId="44" borderId="1" applyAlignment="1" pivotButton="0" quotePrefix="0" xfId="0">
      <alignment horizontal="center" vertical="center"/>
    </xf>
    <xf numFmtId="0" fontId="22" fillId="45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/>
    </xf>
    <xf numFmtId="0" fontId="30" fillId="2" borderId="0" applyAlignment="1" pivotButton="0" quotePrefix="0" xfId="0">
      <alignment horizontal="center" vertical="center"/>
    </xf>
    <xf numFmtId="0" fontId="31" fillId="4" borderId="1" applyAlignment="1" pivotButton="0" quotePrefix="0" xfId="0">
      <alignment horizontal="left" vertical="center"/>
    </xf>
    <xf numFmtId="0" fontId="22" fillId="3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每月支出趨勢 (NT$)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儀表板'!N1</f>
            </strRef>
          </tx>
          <spPr>
            <a:solidFill>
              <a:srgbClr val="0D7377"/>
            </a:solidFill>
            <a:ln>
              <a:solidFill>
                <a:srgbClr val="0D7377"/>
              </a:solidFill>
              <a:prstDash val="solid"/>
            </a:ln>
          </spPr>
          <cat>
            <numRef>
              <f>'📊 儀表板'!$M$2:$M$4</f>
            </numRef>
          </cat>
          <val>
            <numRef>
              <f>'📊 儀表板'!$N$2:$N$4</f>
            </numRef>
          </val>
        </ser>
        <gapWidth val="150"/>
        <overlap val="2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金額 (NT$)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支出類別分布</a:t>
            </a:r>
          </a:p>
        </rich>
      </tx>
    </title>
    <plotArea>
      <pieChart>
        <varyColors val="1"/>
        <ser>
          <idx val="0"/>
          <order val="0"/>
          <tx>
            <strRef>
              <f>'📊 儀表板'!Q1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6B6B"/>
              </a:solidFill>
              <a:ln>
                <a:prstDash val="solid"/>
              </a:ln>
            </spPr>
          </dPt>
          <dPt>
            <idx val="1"/>
            <spPr>
              <a:solidFill>
                <a:srgbClr val="4ECDC4"/>
              </a:solidFill>
              <a:ln>
                <a:prstDash val="solid"/>
              </a:ln>
            </spPr>
          </dPt>
          <dPt>
            <idx val="2"/>
            <spPr>
              <a:solidFill>
                <a:srgbClr val="45B7D1"/>
              </a:solidFill>
              <a:ln>
                <a:prstDash val="solid"/>
              </a:ln>
            </spPr>
          </dPt>
          <dPt>
            <idx val="3"/>
            <spPr>
              <a:solidFill>
                <a:srgbClr val="96CEB4"/>
              </a:solidFill>
              <a:ln>
                <a:prstDash val="solid"/>
              </a:ln>
            </spPr>
          </dPt>
          <dPt>
            <idx val="4"/>
            <spPr>
              <a:solidFill>
                <a:srgbClr val="FFEAA7"/>
              </a:solidFill>
              <a:ln>
                <a:prstDash val="solid"/>
              </a:ln>
            </spPr>
          </dPt>
          <dPt>
            <idx val="5"/>
            <spPr>
              <a:solidFill>
                <a:srgbClr val="DDA0DD"/>
              </a:solidFill>
              <a:ln>
                <a:prstDash val="solid"/>
              </a:ln>
            </spPr>
          </dPt>
          <dPt>
            <idx val="6"/>
            <spPr>
              <a:solidFill>
                <a:srgbClr val="98D8C8"/>
              </a:solidFill>
              <a:ln>
                <a:prstDash val="solid"/>
              </a:ln>
            </spPr>
          </dPt>
          <dPt>
            <idx val="7"/>
            <spPr>
              <a:solidFill>
                <a:srgbClr val="F7DC6F"/>
              </a:solidFill>
              <a:ln>
                <a:prstDash val="solid"/>
              </a:ln>
            </spPr>
          </dPt>
          <dPt>
            <idx val="8"/>
            <spPr>
              <a:solidFill>
                <a:srgbClr val="82E0AA"/>
              </a:solidFill>
              <a:ln>
                <a:prstDash val="solid"/>
              </a:ln>
            </spPr>
          </dPt>
          <dPt>
            <idx val="9"/>
            <spPr>
              <a:solidFill>
                <a:srgbClr val="AEB6BF"/>
              </a:solidFill>
              <a:ln>
                <a:prstDash val="solid"/>
              </a:ln>
            </spPr>
          </dPt>
          <cat>
            <numRef>
              <f>'📊 儀表板'!$P$2:$P$11</f>
            </numRef>
          </cat>
          <val>
            <numRef>
              <f>'📊 儀表板'!$Q$2:$Q$11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各類別每月支出趨勢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月份摘要'!$B$5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月份摘要'!$C$5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月份摘要'!$D$5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月份摘要'!$B$6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月份摘要'!$C$6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月份摘要'!$D$6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月份摘要'!$B$7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月份摘要'!$C$7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月份摘要'!$D$7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月份摘要'!$B$8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月份摘要'!$C$8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月份摘要'!$D$8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月份摘要'!$B$9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月份摘要'!$C$9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月份摘要'!$D$9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月份摘要'!$B$10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月份摘要'!$C$10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月份摘要'!$D$10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月份摘要'!$B$11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月份摘要'!$C$11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月份摘要'!$D$11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月份摘要'!$B$12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月份摘要'!$C$12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月份摘要'!$D$12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月份摘要'!$B$13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月份摘要'!$C$13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月份摘要'!$D$13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月份摘要'!$B$14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月份摘要'!$C$14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'📅 月份摘要'!$B$4:$D$4</f>
            </numRef>
          </cat>
          <val>
            <numRef>
              <f>'📅 月份摘要'!$D$14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金額 (NT$)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月預算 vs 實際支出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'💡 預算管理'!B4</f>
            </strRef>
          </tx>
          <spPr>
            <a:solidFill>
              <a:srgbClr val="0D7377"/>
            </a:solidFill>
            <a:ln>
              <a:prstDash val="solid"/>
            </a:ln>
          </spPr>
          <cat>
            <numRef>
              <f>'💡 預算管理'!$A$5:$A$14</f>
            </numRef>
          </cat>
          <val>
            <numRef>
              <f>'💡 預算管理'!$B$5:$B$14</f>
            </numRef>
          </val>
        </ser>
        <ser>
          <idx val="1"/>
          <order val="1"/>
          <tx>
            <strRef>
              <f>'💡 預算管理'!C4</f>
            </strRef>
          </tx>
          <spPr>
            <a:solidFill>
              <a:srgbClr val="E63946"/>
            </a:solidFill>
            <a:ln>
              <a:prstDash val="solid"/>
            </a:ln>
          </spPr>
          <cat>
            <numRef>
              <f>'💡 預算管理'!$A$5:$A$14</f>
            </numRef>
          </cat>
          <val>
            <numRef>
              <f>'💡 預算管理'!$C$5:$C$14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類別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金額 (NT$)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0D7377"/>
    <outlinePr summaryBelow="1" summaryRight="1"/>
    <pageSetUpPr/>
  </sheetPr>
  <dimension ref="A1:Q37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.5" customWidth="1" min="12" max="12"/>
    <col width="0.5" customWidth="1" min="13" max="13"/>
    <col width="12" customWidth="1" min="14" max="14"/>
    <col width="12" customWidth="1" min="16" max="16"/>
    <col width="12" customWidth="1" min="17" max="1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t="inlineStr">
        <is>
          <t>月份</t>
        </is>
      </c>
      <c r="N1" t="inlineStr">
        <is>
          <t>支出</t>
        </is>
      </c>
      <c r="P1" t="inlineStr">
        <is>
          <t>類別</t>
        </is>
      </c>
      <c r="Q1" t="inlineStr">
        <is>
          <t>金額</t>
        </is>
      </c>
    </row>
    <row r="2" ht="18" customHeight="1">
      <c r="A2" s="1" t="n"/>
      <c r="B2" s="2" t="inlineStr">
        <is>
          <t>💰  個人財務記帳本</t>
        </is>
      </c>
      <c r="L2" s="1" t="n"/>
      <c r="M2" t="inlineStr">
        <is>
          <t>一月</t>
        </is>
      </c>
      <c r="N2" t="n">
        <v>22455</v>
      </c>
      <c r="P2" t="inlineStr">
        <is>
          <t>住宅房租</t>
        </is>
      </c>
      <c r="Q2" t="n">
        <v>36000</v>
      </c>
    </row>
    <row r="3" ht="18" customHeight="1">
      <c r="A3" s="1" t="n"/>
      <c r="L3" s="1" t="n"/>
      <c r="M3" t="inlineStr">
        <is>
          <t>二月</t>
        </is>
      </c>
      <c r="N3" t="n">
        <v>22550</v>
      </c>
      <c r="P3" t="inlineStr">
        <is>
          <t>儲蓄投資</t>
        </is>
      </c>
      <c r="Q3" t="n">
        <v>13000</v>
      </c>
    </row>
    <row r="4" ht="18" customHeight="1">
      <c r="A4" s="1" t="n"/>
      <c r="B4" s="3" t="inlineStr">
        <is>
          <t>Personal Expense Tracker  |  2026 年度</t>
        </is>
      </c>
      <c r="L4" s="1" t="n"/>
      <c r="M4" t="inlineStr">
        <is>
          <t>三月</t>
        </is>
      </c>
      <c r="N4" t="n">
        <v>24920</v>
      </c>
      <c r="P4" t="inlineStr">
        <is>
          <t>服飾美容</t>
        </is>
      </c>
      <c r="Q4" t="n">
        <v>4730</v>
      </c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P5" t="inlineStr">
        <is>
          <t>餐飲食物</t>
        </is>
      </c>
      <c r="Q5" t="n">
        <v>4590</v>
      </c>
    </row>
    <row r="6" ht="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P6" t="inlineStr">
        <is>
          <t>教育學習</t>
        </is>
      </c>
      <c r="Q6" t="n">
        <v>3290</v>
      </c>
    </row>
    <row r="7" ht="10" customHeight="1">
      <c r="P7" t="inlineStr">
        <is>
          <t>娛樂休閒</t>
        </is>
      </c>
      <c r="Q7" t="n">
        <v>2050</v>
      </c>
    </row>
    <row r="8" ht="24" customHeight="1">
      <c r="B8" s="4" t="inlineStr">
        <is>
          <t>📅 本月支出</t>
        </is>
      </c>
      <c r="C8" s="5" t="n"/>
      <c r="D8" s="6" t="inlineStr">
        <is>
          <t>📆 月均支出</t>
        </is>
      </c>
      <c r="E8" s="7" t="n"/>
      <c r="F8" s="8" t="inlineStr">
        <is>
          <t>💳 最大單筆</t>
        </is>
      </c>
      <c r="G8" s="9" t="n"/>
      <c r="H8" s="10" t="inlineStr">
        <is>
          <t>🗓️ 累計支出</t>
        </is>
      </c>
      <c r="I8" s="11" t="n"/>
      <c r="J8" s="12" t="inlineStr">
        <is>
          <t>📝 記錄筆數</t>
        </is>
      </c>
      <c r="K8" s="13" t="n"/>
      <c r="P8" t="inlineStr">
        <is>
          <t>醫療健康</t>
        </is>
      </c>
      <c r="Q8" t="n">
        <v>2050</v>
      </c>
    </row>
    <row r="9" ht="8" customHeight="1">
      <c r="B9" s="5" t="n"/>
      <c r="C9" s="5" t="n"/>
      <c r="D9" s="7" t="n"/>
      <c r="E9" s="7" t="n"/>
      <c r="F9" s="9" t="n"/>
      <c r="G9" s="9" t="n"/>
      <c r="H9" s="11" t="n"/>
      <c r="I9" s="11" t="n"/>
      <c r="J9" s="13" t="n"/>
      <c r="K9" s="13" t="n"/>
      <c r="P9" t="inlineStr">
        <is>
          <t>生活日用</t>
        </is>
      </c>
      <c r="Q9" t="n">
        <v>2040</v>
      </c>
    </row>
    <row r="10" ht="30" customHeight="1">
      <c r="B10" s="14" t="inlineStr">
        <is>
          <t>NT$ 24,920</t>
        </is>
      </c>
      <c r="C10" s="5" t="n"/>
      <c r="D10" s="15" t="inlineStr">
        <is>
          <t>NT$ 23,308</t>
        </is>
      </c>
      <c r="E10" s="7" t="n"/>
      <c r="F10" s="16" t="inlineStr">
        <is>
          <t>NT$ 12,000</t>
        </is>
      </c>
      <c r="G10" s="9" t="n"/>
      <c r="H10" s="17" t="inlineStr">
        <is>
          <t>NT$ 69,925</t>
        </is>
      </c>
      <c r="I10" s="11" t="n"/>
      <c r="J10" s="18" t="inlineStr">
        <is>
          <t>32 筆</t>
        </is>
      </c>
      <c r="K10" s="13" t="n"/>
      <c r="P10" t="inlineStr">
        <is>
          <t>交通出行</t>
        </is>
      </c>
      <c r="Q10" t="n">
        <v>1975</v>
      </c>
    </row>
    <row r="11" ht="8" customHeight="1">
      <c r="B11" s="5" t="n"/>
      <c r="C11" s="5" t="n"/>
      <c r="D11" s="7" t="n"/>
      <c r="E11" s="7" t="n"/>
      <c r="F11" s="9" t="n"/>
      <c r="G11" s="9" t="n"/>
      <c r="H11" s="11" t="n"/>
      <c r="I11" s="11" t="n"/>
      <c r="J11" s="13" t="n"/>
      <c r="K11" s="13" t="n"/>
      <c r="P11" t="inlineStr">
        <is>
          <t>其他支出</t>
        </is>
      </c>
      <c r="Q11" t="n">
        <v>200</v>
      </c>
    </row>
    <row r="12" ht="20" customHeight="1">
      <c r="B12" s="19" t="n"/>
      <c r="C12" s="5" t="n"/>
      <c r="D12" s="20" t="n"/>
      <c r="E12" s="7" t="n"/>
      <c r="F12" s="21" t="n"/>
      <c r="G12" s="9" t="n"/>
      <c r="H12" s="22" t="n"/>
      <c r="I12" s="11" t="n"/>
      <c r="J12" s="23" t="n"/>
      <c r="K12" s="13" t="n"/>
    </row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26" customHeight="1">
      <c r="B28" s="24" t="inlineStr">
        <is>
          <t xml:space="preserve">  最近消費記錄</t>
        </is>
      </c>
    </row>
    <row r="29" ht="22" customHeight="1">
      <c r="B29" s="25" t="inlineStr">
        <is>
          <t>日期</t>
        </is>
      </c>
      <c r="C29" s="25" t="inlineStr">
        <is>
          <t>類別</t>
        </is>
      </c>
      <c r="D29" s="25" t="inlineStr">
        <is>
          <t>說明</t>
        </is>
      </c>
      <c r="G29" s="25" t="inlineStr">
        <is>
          <t>付款方式</t>
        </is>
      </c>
      <c r="I29" s="25" t="inlineStr">
        <is>
          <t>金額 (NT$)</t>
        </is>
      </c>
    </row>
    <row r="30" ht="20" customHeight="1">
      <c r="B30" s="26" t="inlineStr">
        <is>
          <t>2026/03/28</t>
        </is>
      </c>
      <c r="C30" s="26" t="inlineStr">
        <is>
          <t>其他支出</t>
        </is>
      </c>
      <c r="D30" s="26" t="inlineStr">
        <is>
          <t>禮品包裝</t>
        </is>
      </c>
      <c r="G30" s="26" t="inlineStr">
        <is>
          <t>現金</t>
        </is>
      </c>
      <c r="I30" s="27" t="n">
        <v>120</v>
      </c>
    </row>
    <row r="31" ht="20" customHeight="1">
      <c r="B31" s="28" t="inlineStr">
        <is>
          <t>2026/03/25</t>
        </is>
      </c>
      <c r="C31" s="28" t="inlineStr">
        <is>
          <t>服飾美容</t>
        </is>
      </c>
      <c r="D31" s="28" t="inlineStr">
        <is>
          <t>運動鞋</t>
        </is>
      </c>
      <c r="G31" s="28" t="inlineStr">
        <is>
          <t>信用卡</t>
        </is>
      </c>
      <c r="I31" s="29" t="n">
        <v>2800</v>
      </c>
    </row>
    <row r="32" ht="20" customHeight="1">
      <c r="B32" s="26" t="inlineStr">
        <is>
          <t>2026/03/20</t>
        </is>
      </c>
      <c r="C32" s="26" t="inlineStr">
        <is>
          <t>儲蓄投資</t>
        </is>
      </c>
      <c r="D32" s="26" t="inlineStr">
        <is>
          <t>基金申購</t>
        </is>
      </c>
      <c r="G32" s="26" t="inlineStr">
        <is>
          <t>銀行轉帳</t>
        </is>
      </c>
      <c r="I32" s="30" t="n">
        <v>5000</v>
      </c>
    </row>
    <row r="33" ht="20" customHeight="1">
      <c r="B33" s="28" t="inlineStr">
        <is>
          <t>2026/03/18</t>
        </is>
      </c>
      <c r="C33" s="28" t="inlineStr">
        <is>
          <t>醫療健康</t>
        </is>
      </c>
      <c r="D33" s="28" t="inlineStr">
        <is>
          <t>牙科洗牙</t>
        </is>
      </c>
      <c r="G33" s="28" t="inlineStr">
        <is>
          <t>現金</t>
        </is>
      </c>
      <c r="I33" s="29" t="n">
        <v>1000</v>
      </c>
    </row>
    <row r="34" ht="20" customHeight="1">
      <c r="B34" s="26" t="inlineStr">
        <is>
          <t>2026/03/15</t>
        </is>
      </c>
      <c r="C34" s="26" t="inlineStr">
        <is>
          <t>住宅房租</t>
        </is>
      </c>
      <c r="D34" s="26" t="inlineStr">
        <is>
          <t>三月房租</t>
        </is>
      </c>
      <c r="G34" s="26" t="inlineStr">
        <is>
          <t>銀行轉帳</t>
        </is>
      </c>
      <c r="I34" s="30" t="n">
        <v>12000</v>
      </c>
    </row>
    <row r="35" ht="20" customHeight="1">
      <c r="B35" s="28" t="inlineStr">
        <is>
          <t>2026/03/12</t>
        </is>
      </c>
      <c r="C35" s="28" t="inlineStr">
        <is>
          <t>餐飲食物</t>
        </is>
      </c>
      <c r="D35" s="28" t="inlineStr">
        <is>
          <t>下午茶咖啡</t>
        </is>
      </c>
      <c r="G35" s="28" t="inlineStr">
        <is>
          <t>LINE Pay</t>
        </is>
      </c>
      <c r="I35" s="31" t="n">
        <v>145</v>
      </c>
    </row>
    <row r="36" ht="20" customHeight="1">
      <c r="B36" s="26" t="inlineStr">
        <is>
          <t>2026/03/10</t>
        </is>
      </c>
      <c r="C36" s="26" t="inlineStr">
        <is>
          <t>娛樂休閒</t>
        </is>
      </c>
      <c r="D36" s="26" t="inlineStr">
        <is>
          <t>Switch 遊戲</t>
        </is>
      </c>
      <c r="G36" s="26" t="inlineStr">
        <is>
          <t>信用卡</t>
        </is>
      </c>
      <c r="I36" s="30" t="n">
        <v>1200</v>
      </c>
    </row>
    <row r="37" ht="20" customHeight="1">
      <c r="B37" s="28" t="inlineStr">
        <is>
          <t>2026/03/08</t>
        </is>
      </c>
      <c r="C37" s="28" t="inlineStr">
        <is>
          <t>生活日用</t>
        </is>
      </c>
      <c r="D37" s="28" t="inlineStr">
        <is>
          <t>宜家家居</t>
        </is>
      </c>
      <c r="G37" s="28" t="inlineStr">
        <is>
          <t>信用卡</t>
        </is>
      </c>
      <c r="I37" s="29" t="n">
        <v>1280</v>
      </c>
    </row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45">
    <mergeCell ref="F8:G9"/>
    <mergeCell ref="I32:K32"/>
    <mergeCell ref="D32:F32"/>
    <mergeCell ref="I37:K37"/>
    <mergeCell ref="B10:C11"/>
    <mergeCell ref="G36:H36"/>
    <mergeCell ref="B2:K3"/>
    <mergeCell ref="B12:C12"/>
    <mergeCell ref="I33:K33"/>
    <mergeCell ref="D8:E9"/>
    <mergeCell ref="F12:G12"/>
    <mergeCell ref="B4:K4"/>
    <mergeCell ref="D37:F37"/>
    <mergeCell ref="G37:H37"/>
    <mergeCell ref="I35:K35"/>
    <mergeCell ref="D10:E11"/>
    <mergeCell ref="D30:F30"/>
    <mergeCell ref="H8:I9"/>
    <mergeCell ref="I29:K29"/>
    <mergeCell ref="J8:K9"/>
    <mergeCell ref="D33:F33"/>
    <mergeCell ref="G34:H34"/>
    <mergeCell ref="D29:F29"/>
    <mergeCell ref="G30:H30"/>
    <mergeCell ref="F10:G11"/>
    <mergeCell ref="G33:H33"/>
    <mergeCell ref="H10:I11"/>
    <mergeCell ref="I31:K31"/>
    <mergeCell ref="J10:K11"/>
    <mergeCell ref="D35:F35"/>
    <mergeCell ref="I34:K34"/>
    <mergeCell ref="I30:K30"/>
    <mergeCell ref="D34:F34"/>
    <mergeCell ref="D12:E12"/>
    <mergeCell ref="G29:H29"/>
    <mergeCell ref="G35:H35"/>
    <mergeCell ref="H12:I12"/>
    <mergeCell ref="B8:C9"/>
    <mergeCell ref="J12:K12"/>
    <mergeCell ref="I36:K36"/>
    <mergeCell ref="D31:F31"/>
    <mergeCell ref="G32:H32"/>
    <mergeCell ref="D36:F36"/>
    <mergeCell ref="G31:H31"/>
    <mergeCell ref="B28:K2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176FF"/>
    <outlinePr summaryBelow="1" summaryRight="1"/>
    <pageSetUpPr/>
  </sheetPr>
  <dimension ref="A1:I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  <col width="14" customWidth="1" min="7" max="7"/>
    <col width="20" customWidth="1" min="8" max="8"/>
    <col width="10" customWidth="1" min="9" max="9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32" t="inlineStr">
        <is>
          <t>📝  記帳明細  |  逐筆消費記錄</t>
        </is>
      </c>
    </row>
    <row r="3" ht="8" customHeight="1"/>
    <row r="4" ht="24" customHeight="1">
      <c r="A4" s="25" t="inlineStr">
        <is>
          <t>#</t>
        </is>
      </c>
      <c r="B4" s="25" t="inlineStr">
        <is>
          <t>日期</t>
        </is>
      </c>
      <c r="C4" s="25" t="inlineStr">
        <is>
          <t>類別</t>
        </is>
      </c>
      <c r="D4" s="25" t="inlineStr">
        <is>
          <t>消費說明</t>
        </is>
      </c>
      <c r="E4" s="25" t="inlineStr">
        <is>
          <t>金額 (NT$)</t>
        </is>
      </c>
      <c r="F4" s="25" t="inlineStr">
        <is>
          <t>付款方式</t>
        </is>
      </c>
      <c r="G4" s="25" t="inlineStr">
        <is>
          <t>帳戶</t>
        </is>
      </c>
      <c r="H4" s="25" t="inlineStr">
        <is>
          <t>備註</t>
        </is>
      </c>
      <c r="I4" s="25" t="inlineStr">
        <is>
          <t>標籤</t>
        </is>
      </c>
    </row>
    <row r="5" ht="20" customHeight="1">
      <c r="A5" s="33" t="n">
        <v>1</v>
      </c>
      <c r="B5" s="33" t="inlineStr">
        <is>
          <t>2026/01/02</t>
        </is>
      </c>
      <c r="C5" s="34" t="inlineStr">
        <is>
          <t>餐飲食物</t>
        </is>
      </c>
      <c r="D5" s="35" t="inlineStr">
        <is>
          <t>早餐豆漿蛋餅</t>
        </is>
      </c>
      <c r="E5" s="36" t="n">
        <v>65</v>
      </c>
      <c r="F5" s="33" t="inlineStr">
        <is>
          <t>現金</t>
        </is>
      </c>
      <c r="G5" s="33" t="inlineStr">
        <is>
          <t>玉山銀行</t>
        </is>
      </c>
      <c r="H5" s="35" t="inlineStr"/>
      <c r="I5" s="33" t="inlineStr"/>
    </row>
    <row r="6" ht="20" customHeight="1">
      <c r="A6" s="37" t="n">
        <v>2</v>
      </c>
      <c r="B6" s="37" t="inlineStr">
        <is>
          <t>2026/01/02</t>
        </is>
      </c>
      <c r="C6" s="38" t="inlineStr">
        <is>
          <t>交通出行</t>
        </is>
      </c>
      <c r="D6" s="39" t="inlineStr">
        <is>
          <t>捷運月票</t>
        </is>
      </c>
      <c r="E6" s="40" t="n">
        <v>1280</v>
      </c>
      <c r="F6" s="37" t="inlineStr">
        <is>
          <t>悠遊卡</t>
        </is>
      </c>
      <c r="G6" s="37" t="inlineStr">
        <is>
          <t>玉山銀行</t>
        </is>
      </c>
      <c r="H6" s="39" t="inlineStr"/>
      <c r="I6" s="37" t="inlineStr"/>
    </row>
    <row r="7" ht="20" customHeight="1">
      <c r="A7" s="33" t="n">
        <v>3</v>
      </c>
      <c r="B7" s="33" t="inlineStr">
        <is>
          <t>2026/01/05</t>
        </is>
      </c>
      <c r="C7" s="34" t="inlineStr">
        <is>
          <t>餐飲食物</t>
        </is>
      </c>
      <c r="D7" s="35" t="inlineStr">
        <is>
          <t>午餐便當</t>
        </is>
      </c>
      <c r="E7" s="36" t="n">
        <v>120</v>
      </c>
      <c r="F7" s="33" t="inlineStr">
        <is>
          <t>LINE Pay</t>
        </is>
      </c>
      <c r="G7" s="33" t="inlineStr">
        <is>
          <t>玉山銀行</t>
        </is>
      </c>
      <c r="H7" s="35" t="inlineStr"/>
      <c r="I7" s="33" t="inlineStr"/>
    </row>
    <row r="8" ht="20" customHeight="1">
      <c r="A8" s="37" t="n">
        <v>4</v>
      </c>
      <c r="B8" s="37" t="inlineStr">
        <is>
          <t>2026/01/08</t>
        </is>
      </c>
      <c r="C8" s="41" t="inlineStr">
        <is>
          <t>娛樂休閒</t>
        </is>
      </c>
      <c r="D8" s="39" t="inlineStr">
        <is>
          <t>Netflix 訂閱</t>
        </is>
      </c>
      <c r="E8" s="42" t="n">
        <v>270</v>
      </c>
      <c r="F8" s="37" t="inlineStr">
        <is>
          <t>信用卡</t>
        </is>
      </c>
      <c r="G8" s="37" t="inlineStr">
        <is>
          <t>玉山銀行</t>
        </is>
      </c>
      <c r="H8" s="39" t="inlineStr"/>
      <c r="I8" s="37" t="inlineStr"/>
    </row>
    <row r="9" ht="20" customHeight="1">
      <c r="A9" s="33" t="n">
        <v>5</v>
      </c>
      <c r="B9" s="33" t="inlineStr">
        <is>
          <t>2026/01/10</t>
        </is>
      </c>
      <c r="C9" s="43" t="inlineStr">
        <is>
          <t>生活日用</t>
        </is>
      </c>
      <c r="D9" s="35" t="inlineStr">
        <is>
          <t>衛生紙洗碗精</t>
        </is>
      </c>
      <c r="E9" s="36" t="n">
        <v>340</v>
      </c>
      <c r="F9" s="33" t="inlineStr">
        <is>
          <t>信用卡</t>
        </is>
      </c>
      <c r="G9" s="33" t="inlineStr">
        <is>
          <t>玉山銀行</t>
        </is>
      </c>
      <c r="H9" s="35" t="inlineStr"/>
      <c r="I9" s="33" t="inlineStr"/>
    </row>
    <row r="10" ht="20" customHeight="1">
      <c r="A10" s="37" t="n">
        <v>6</v>
      </c>
      <c r="B10" s="37" t="inlineStr">
        <is>
          <t>2026/01/12</t>
        </is>
      </c>
      <c r="C10" s="44" t="inlineStr">
        <is>
          <t>醫療健康</t>
        </is>
      </c>
      <c r="D10" s="39" t="inlineStr">
        <is>
          <t>診所掛號費</t>
        </is>
      </c>
      <c r="E10" s="42" t="n">
        <v>150</v>
      </c>
      <c r="F10" s="37" t="inlineStr">
        <is>
          <t>現金</t>
        </is>
      </c>
      <c r="G10" s="37" t="inlineStr">
        <is>
          <t>玉山銀行</t>
        </is>
      </c>
      <c r="H10" s="39" t="inlineStr"/>
      <c r="I10" s="37" t="inlineStr"/>
    </row>
    <row r="11" ht="20" customHeight="1">
      <c r="A11" s="33" t="n">
        <v>7</v>
      </c>
      <c r="B11" s="33" t="inlineStr">
        <is>
          <t>2026/01/15</t>
        </is>
      </c>
      <c r="C11" s="45" t="inlineStr">
        <is>
          <t>住宅房租</t>
        </is>
      </c>
      <c r="D11" s="35" t="inlineStr">
        <is>
          <t>一月房租</t>
        </is>
      </c>
      <c r="E11" s="46" t="n">
        <v>12000</v>
      </c>
      <c r="F11" s="33" t="inlineStr">
        <is>
          <t>銀行轉帳</t>
        </is>
      </c>
      <c r="G11" s="33" t="inlineStr">
        <is>
          <t>玉山銀行</t>
        </is>
      </c>
      <c r="H11" s="35" t="inlineStr"/>
      <c r="I11" s="33" t="inlineStr"/>
    </row>
    <row r="12" ht="20" customHeight="1">
      <c r="A12" s="37" t="n">
        <v>8</v>
      </c>
      <c r="B12" s="37" t="inlineStr">
        <is>
          <t>2026/01/18</t>
        </is>
      </c>
      <c r="C12" s="47" t="inlineStr">
        <is>
          <t>教育學習</t>
        </is>
      </c>
      <c r="D12" s="39" t="inlineStr">
        <is>
          <t>Udemy 課程</t>
        </is>
      </c>
      <c r="E12" s="42" t="n">
        <v>890</v>
      </c>
      <c r="F12" s="37" t="inlineStr">
        <is>
          <t>信用卡</t>
        </is>
      </c>
      <c r="G12" s="37" t="inlineStr">
        <is>
          <t>玉山銀行</t>
        </is>
      </c>
      <c r="H12" s="39" t="inlineStr"/>
      <c r="I12" s="37" t="inlineStr"/>
    </row>
    <row r="13" ht="20" customHeight="1">
      <c r="A13" s="33" t="n">
        <v>9</v>
      </c>
      <c r="B13" s="33" t="inlineStr">
        <is>
          <t>2026/01/20</t>
        </is>
      </c>
      <c r="C13" s="48" t="inlineStr">
        <is>
          <t>服飾美容</t>
        </is>
      </c>
      <c r="D13" s="35" t="inlineStr">
        <is>
          <t>換季外套</t>
        </is>
      </c>
      <c r="E13" s="49" t="n">
        <v>1580</v>
      </c>
      <c r="F13" s="33" t="inlineStr">
        <is>
          <t>信用卡</t>
        </is>
      </c>
      <c r="G13" s="33" t="inlineStr">
        <is>
          <t>玉山銀行</t>
        </is>
      </c>
      <c r="H13" s="35" t="inlineStr"/>
      <c r="I13" s="33" t="inlineStr"/>
    </row>
    <row r="14" ht="20" customHeight="1">
      <c r="A14" s="37" t="n">
        <v>10</v>
      </c>
      <c r="B14" s="37" t="inlineStr">
        <is>
          <t>2026/01/22</t>
        </is>
      </c>
      <c r="C14" s="34" t="inlineStr">
        <is>
          <t>餐飲食物</t>
        </is>
      </c>
      <c r="D14" s="39" t="inlineStr">
        <is>
          <t>火鍋聚餐</t>
        </is>
      </c>
      <c r="E14" s="42" t="n">
        <v>680</v>
      </c>
      <c r="F14" s="37" t="inlineStr">
        <is>
          <t>LINE Pay</t>
        </is>
      </c>
      <c r="G14" s="37" t="inlineStr">
        <is>
          <t>玉山銀行</t>
        </is>
      </c>
      <c r="H14" s="39" t="inlineStr"/>
      <c r="I14" s="37" t="inlineStr"/>
    </row>
    <row r="15" ht="20" customHeight="1">
      <c r="A15" s="33" t="n">
        <v>11</v>
      </c>
      <c r="B15" s="33" t="inlineStr">
        <is>
          <t>2026/01/25</t>
        </is>
      </c>
      <c r="C15" s="50" t="inlineStr">
        <is>
          <t>儲蓄投資</t>
        </is>
      </c>
      <c r="D15" s="35" t="inlineStr">
        <is>
          <t>定期存款</t>
        </is>
      </c>
      <c r="E15" s="46" t="n">
        <v>5000</v>
      </c>
      <c r="F15" s="33" t="inlineStr">
        <is>
          <t>銀行轉帳</t>
        </is>
      </c>
      <c r="G15" s="33" t="inlineStr">
        <is>
          <t>玉山銀行</t>
        </is>
      </c>
      <c r="H15" s="35" t="inlineStr"/>
      <c r="I15" s="33" t="inlineStr"/>
    </row>
    <row r="16" ht="20" customHeight="1">
      <c r="A16" s="37" t="n">
        <v>12</v>
      </c>
      <c r="B16" s="37" t="inlineStr">
        <is>
          <t>2026/01/28</t>
        </is>
      </c>
      <c r="C16" s="51" t="inlineStr">
        <is>
          <t>其他支出</t>
        </is>
      </c>
      <c r="D16" s="39" t="inlineStr">
        <is>
          <t>寄快遞</t>
        </is>
      </c>
      <c r="E16" s="42" t="n">
        <v>80</v>
      </c>
      <c r="F16" s="37" t="inlineStr">
        <is>
          <t>現金</t>
        </is>
      </c>
      <c r="G16" s="37" t="inlineStr">
        <is>
          <t>玉山銀行</t>
        </is>
      </c>
      <c r="H16" s="39" t="inlineStr"/>
      <c r="I16" s="37" t="inlineStr"/>
    </row>
    <row r="17" ht="20" customHeight="1">
      <c r="A17" s="33" t="n">
        <v>13</v>
      </c>
      <c r="B17" s="33" t="inlineStr">
        <is>
          <t>2026/02/01</t>
        </is>
      </c>
      <c r="C17" s="34" t="inlineStr">
        <is>
          <t>餐飲食物</t>
        </is>
      </c>
      <c r="D17" s="35" t="inlineStr">
        <is>
          <t>年節零食</t>
        </is>
      </c>
      <c r="E17" s="36" t="n">
        <v>520</v>
      </c>
      <c r="F17" s="33" t="inlineStr">
        <is>
          <t>現金</t>
        </is>
      </c>
      <c r="G17" s="33" t="inlineStr">
        <is>
          <t>玉山銀行</t>
        </is>
      </c>
      <c r="H17" s="35" t="inlineStr"/>
      <c r="I17" s="33" t="inlineStr"/>
    </row>
    <row r="18" ht="20" customHeight="1">
      <c r="A18" s="37" t="n">
        <v>14</v>
      </c>
      <c r="B18" s="37" t="inlineStr">
        <is>
          <t>2026/02/03</t>
        </is>
      </c>
      <c r="C18" s="38" t="inlineStr">
        <is>
          <t>交通出行</t>
        </is>
      </c>
      <c r="D18" s="39" t="inlineStr">
        <is>
          <t>計程車</t>
        </is>
      </c>
      <c r="E18" s="42" t="n">
        <v>180</v>
      </c>
      <c r="F18" s="37" t="inlineStr">
        <is>
          <t>街口支付</t>
        </is>
      </c>
      <c r="G18" s="37" t="inlineStr">
        <is>
          <t>玉山銀行</t>
        </is>
      </c>
      <c r="H18" s="39" t="inlineStr"/>
      <c r="I18" s="37" t="inlineStr"/>
    </row>
    <row r="19" ht="20" customHeight="1">
      <c r="A19" s="33" t="n">
        <v>15</v>
      </c>
      <c r="B19" s="33" t="inlineStr">
        <is>
          <t>2026/02/05</t>
        </is>
      </c>
      <c r="C19" s="34" t="inlineStr">
        <is>
          <t>餐飲食物</t>
        </is>
      </c>
      <c r="D19" s="35" t="inlineStr">
        <is>
          <t>家庭年夜飯</t>
        </is>
      </c>
      <c r="E19" s="49" t="n">
        <v>2200</v>
      </c>
      <c r="F19" s="33" t="inlineStr">
        <is>
          <t>信用卡</t>
        </is>
      </c>
      <c r="G19" s="33" t="inlineStr">
        <is>
          <t>玉山銀行</t>
        </is>
      </c>
      <c r="H19" s="35" t="inlineStr"/>
      <c r="I19" s="33" t="inlineStr"/>
    </row>
    <row r="20" ht="20" customHeight="1">
      <c r="A20" s="37" t="n">
        <v>16</v>
      </c>
      <c r="B20" s="37" t="inlineStr">
        <is>
          <t>2026/02/10</t>
        </is>
      </c>
      <c r="C20" s="41" t="inlineStr">
        <is>
          <t>娛樂休閒</t>
        </is>
      </c>
      <c r="D20" s="39" t="inlineStr">
        <is>
          <t>電影票 x2</t>
        </is>
      </c>
      <c r="E20" s="42" t="n">
        <v>580</v>
      </c>
      <c r="F20" s="37" t="inlineStr">
        <is>
          <t>信用卡</t>
        </is>
      </c>
      <c r="G20" s="37" t="inlineStr">
        <is>
          <t>玉山銀行</t>
        </is>
      </c>
      <c r="H20" s="39" t="inlineStr"/>
      <c r="I20" s="37" t="inlineStr"/>
    </row>
    <row r="21" ht="20" customHeight="1">
      <c r="A21" s="33" t="n">
        <v>17</v>
      </c>
      <c r="B21" s="33" t="inlineStr">
        <is>
          <t>2026/02/12</t>
        </is>
      </c>
      <c r="C21" s="43" t="inlineStr">
        <is>
          <t>生活日用</t>
        </is>
      </c>
      <c r="D21" s="35" t="inlineStr">
        <is>
          <t>清潔用品</t>
        </is>
      </c>
      <c r="E21" s="36" t="n">
        <v>420</v>
      </c>
      <c r="F21" s="33" t="inlineStr">
        <is>
          <t>街口支付</t>
        </is>
      </c>
      <c r="G21" s="33" t="inlineStr">
        <is>
          <t>玉山銀行</t>
        </is>
      </c>
      <c r="H21" s="35" t="inlineStr"/>
      <c r="I21" s="33" t="inlineStr"/>
    </row>
    <row r="22" ht="20" customHeight="1">
      <c r="A22" s="37" t="n">
        <v>18</v>
      </c>
      <c r="B22" s="37" t="inlineStr">
        <is>
          <t>2026/02/15</t>
        </is>
      </c>
      <c r="C22" s="45" t="inlineStr">
        <is>
          <t>住宅房租</t>
        </is>
      </c>
      <c r="D22" s="39" t="inlineStr">
        <is>
          <t>二月房租</t>
        </is>
      </c>
      <c r="E22" s="52" t="n">
        <v>12000</v>
      </c>
      <c r="F22" s="37" t="inlineStr">
        <is>
          <t>銀行轉帳</t>
        </is>
      </c>
      <c r="G22" s="37" t="inlineStr">
        <is>
          <t>玉山銀行</t>
        </is>
      </c>
      <c r="H22" s="39" t="inlineStr"/>
      <c r="I22" s="37" t="inlineStr"/>
    </row>
    <row r="23" ht="20" customHeight="1">
      <c r="A23" s="33" t="n">
        <v>19</v>
      </c>
      <c r="B23" s="33" t="inlineStr">
        <is>
          <t>2026/02/18</t>
        </is>
      </c>
      <c r="C23" s="44" t="inlineStr">
        <is>
          <t>醫療健康</t>
        </is>
      </c>
      <c r="D23" s="35" t="inlineStr">
        <is>
          <t>健身房月費</t>
        </is>
      </c>
      <c r="E23" s="36" t="n">
        <v>900</v>
      </c>
      <c r="F23" s="33" t="inlineStr">
        <is>
          <t>信用卡</t>
        </is>
      </c>
      <c r="G23" s="33" t="inlineStr">
        <is>
          <t>玉山銀行</t>
        </is>
      </c>
      <c r="H23" s="35" t="inlineStr"/>
      <c r="I23" s="33" t="inlineStr"/>
    </row>
    <row r="24" ht="20" customHeight="1">
      <c r="A24" s="37" t="n">
        <v>20</v>
      </c>
      <c r="B24" s="37" t="inlineStr">
        <is>
          <t>2026/02/20</t>
        </is>
      </c>
      <c r="C24" s="48" t="inlineStr">
        <is>
          <t>服飾美容</t>
        </is>
      </c>
      <c r="D24" s="39" t="inlineStr">
        <is>
          <t>理髮</t>
        </is>
      </c>
      <c r="E24" s="42" t="n">
        <v>350</v>
      </c>
      <c r="F24" s="37" t="inlineStr">
        <is>
          <t>現金</t>
        </is>
      </c>
      <c r="G24" s="37" t="inlineStr">
        <is>
          <t>玉山銀行</t>
        </is>
      </c>
      <c r="H24" s="39" t="inlineStr"/>
      <c r="I24" s="37" t="inlineStr"/>
    </row>
    <row r="25" ht="20" customHeight="1">
      <c r="A25" s="33" t="n">
        <v>21</v>
      </c>
      <c r="B25" s="33" t="inlineStr">
        <is>
          <t>2026/02/22</t>
        </is>
      </c>
      <c r="C25" s="50" t="inlineStr">
        <is>
          <t>儲蓄投資</t>
        </is>
      </c>
      <c r="D25" s="35" t="inlineStr">
        <is>
          <t>ETF 定期定額</t>
        </is>
      </c>
      <c r="E25" s="49" t="n">
        <v>3000</v>
      </c>
      <c r="F25" s="33" t="inlineStr">
        <is>
          <t>銀行轉帳</t>
        </is>
      </c>
      <c r="G25" s="33" t="inlineStr">
        <is>
          <t>玉山銀行</t>
        </is>
      </c>
      <c r="H25" s="35" t="inlineStr"/>
      <c r="I25" s="33" t="inlineStr"/>
    </row>
    <row r="26" ht="20" customHeight="1">
      <c r="A26" s="37" t="n">
        <v>22</v>
      </c>
      <c r="B26" s="37" t="inlineStr">
        <is>
          <t>2026/02/25</t>
        </is>
      </c>
      <c r="C26" s="47" t="inlineStr">
        <is>
          <t>教育學習</t>
        </is>
      </c>
      <c r="D26" s="39" t="inlineStr">
        <is>
          <t>英文補習</t>
        </is>
      </c>
      <c r="E26" s="40" t="n">
        <v>2400</v>
      </c>
      <c r="F26" s="37" t="inlineStr">
        <is>
          <t>銀行轉帳</t>
        </is>
      </c>
      <c r="G26" s="37" t="inlineStr">
        <is>
          <t>玉山銀行</t>
        </is>
      </c>
      <c r="H26" s="39" t="inlineStr"/>
      <c r="I26" s="37" t="inlineStr"/>
    </row>
    <row r="27" ht="20" customHeight="1">
      <c r="A27" s="33" t="n">
        <v>23</v>
      </c>
      <c r="B27" s="33" t="inlineStr">
        <is>
          <t>2026/03/01</t>
        </is>
      </c>
      <c r="C27" s="34" t="inlineStr">
        <is>
          <t>餐飲食物</t>
        </is>
      </c>
      <c r="D27" s="35" t="inlineStr">
        <is>
          <t>超市採購</t>
        </is>
      </c>
      <c r="E27" s="36" t="n">
        <v>860</v>
      </c>
      <c r="F27" s="33" t="inlineStr">
        <is>
          <t>信用卡</t>
        </is>
      </c>
      <c r="G27" s="33" t="inlineStr">
        <is>
          <t>玉山銀行</t>
        </is>
      </c>
      <c r="H27" s="35" t="inlineStr"/>
      <c r="I27" s="33" t="inlineStr"/>
    </row>
    <row r="28" ht="20" customHeight="1">
      <c r="A28" s="37" t="n">
        <v>24</v>
      </c>
      <c r="B28" s="37" t="inlineStr">
        <is>
          <t>2026/03/05</t>
        </is>
      </c>
      <c r="C28" s="38" t="inlineStr">
        <is>
          <t>交通出行</t>
        </is>
      </c>
      <c r="D28" s="39" t="inlineStr">
        <is>
          <t>高鐵台北→台中</t>
        </is>
      </c>
      <c r="E28" s="42" t="n">
        <v>515</v>
      </c>
      <c r="F28" s="37" t="inlineStr">
        <is>
          <t>信用卡</t>
        </is>
      </c>
      <c r="G28" s="37" t="inlineStr">
        <is>
          <t>玉山銀行</t>
        </is>
      </c>
      <c r="H28" s="39" t="inlineStr"/>
      <c r="I28" s="37" t="inlineStr"/>
    </row>
    <row r="29" ht="20" customHeight="1">
      <c r="A29" s="33" t="n">
        <v>25</v>
      </c>
      <c r="B29" s="33" t="inlineStr">
        <is>
          <t>2026/03/08</t>
        </is>
      </c>
      <c r="C29" s="43" t="inlineStr">
        <is>
          <t>生活日用</t>
        </is>
      </c>
      <c r="D29" s="35" t="inlineStr">
        <is>
          <t>宜家家居</t>
        </is>
      </c>
      <c r="E29" s="49" t="n">
        <v>1280</v>
      </c>
      <c r="F29" s="33" t="inlineStr">
        <is>
          <t>信用卡</t>
        </is>
      </c>
      <c r="G29" s="33" t="inlineStr">
        <is>
          <t>玉山銀行</t>
        </is>
      </c>
      <c r="H29" s="35" t="inlineStr"/>
      <c r="I29" s="33" t="inlineStr"/>
    </row>
    <row r="30" ht="20" customHeight="1">
      <c r="A30" s="37" t="n">
        <v>26</v>
      </c>
      <c r="B30" s="37" t="inlineStr">
        <is>
          <t>2026/03/10</t>
        </is>
      </c>
      <c r="C30" s="41" t="inlineStr">
        <is>
          <t>娛樂休閒</t>
        </is>
      </c>
      <c r="D30" s="39" t="inlineStr">
        <is>
          <t>Switch 遊戲</t>
        </is>
      </c>
      <c r="E30" s="40" t="n">
        <v>1200</v>
      </c>
      <c r="F30" s="37" t="inlineStr">
        <is>
          <t>信用卡</t>
        </is>
      </c>
      <c r="G30" s="37" t="inlineStr">
        <is>
          <t>玉山銀行</t>
        </is>
      </c>
      <c r="H30" s="39" t="inlineStr"/>
      <c r="I30" s="37" t="inlineStr"/>
    </row>
    <row r="31" ht="20" customHeight="1">
      <c r="A31" s="33" t="n">
        <v>27</v>
      </c>
      <c r="B31" s="33" t="inlineStr">
        <is>
          <t>2026/03/12</t>
        </is>
      </c>
      <c r="C31" s="34" t="inlineStr">
        <is>
          <t>餐飲食物</t>
        </is>
      </c>
      <c r="D31" s="35" t="inlineStr">
        <is>
          <t>下午茶咖啡</t>
        </is>
      </c>
      <c r="E31" s="36" t="n">
        <v>145</v>
      </c>
      <c r="F31" s="33" t="inlineStr">
        <is>
          <t>LINE Pay</t>
        </is>
      </c>
      <c r="G31" s="33" t="inlineStr">
        <is>
          <t>玉山銀行</t>
        </is>
      </c>
      <c r="H31" s="35" t="inlineStr"/>
      <c r="I31" s="33" t="inlineStr"/>
    </row>
    <row r="32" ht="20" customHeight="1">
      <c r="A32" s="37" t="n">
        <v>28</v>
      </c>
      <c r="B32" s="37" t="inlineStr">
        <is>
          <t>2026/03/15</t>
        </is>
      </c>
      <c r="C32" s="45" t="inlineStr">
        <is>
          <t>住宅房租</t>
        </is>
      </c>
      <c r="D32" s="39" t="inlineStr">
        <is>
          <t>三月房租</t>
        </is>
      </c>
      <c r="E32" s="52" t="n">
        <v>12000</v>
      </c>
      <c r="F32" s="37" t="inlineStr">
        <is>
          <t>銀行轉帳</t>
        </is>
      </c>
      <c r="G32" s="37" t="inlineStr">
        <is>
          <t>玉山銀行</t>
        </is>
      </c>
      <c r="H32" s="39" t="inlineStr"/>
      <c r="I32" s="37" t="inlineStr"/>
    </row>
    <row r="33" ht="20" customHeight="1">
      <c r="A33" s="33" t="n">
        <v>29</v>
      </c>
      <c r="B33" s="33" t="inlineStr">
        <is>
          <t>2026/03/18</t>
        </is>
      </c>
      <c r="C33" s="44" t="inlineStr">
        <is>
          <t>醫療健康</t>
        </is>
      </c>
      <c r="D33" s="35" t="inlineStr">
        <is>
          <t>牙科洗牙</t>
        </is>
      </c>
      <c r="E33" s="49" t="n">
        <v>1000</v>
      </c>
      <c r="F33" s="33" t="inlineStr">
        <is>
          <t>現金</t>
        </is>
      </c>
      <c r="G33" s="33" t="inlineStr">
        <is>
          <t>玉山銀行</t>
        </is>
      </c>
      <c r="H33" s="35" t="inlineStr"/>
      <c r="I33" s="33" t="inlineStr"/>
    </row>
    <row r="34" ht="20" customHeight="1">
      <c r="A34" s="37" t="n">
        <v>30</v>
      </c>
      <c r="B34" s="37" t="inlineStr">
        <is>
          <t>2026/03/20</t>
        </is>
      </c>
      <c r="C34" s="50" t="inlineStr">
        <is>
          <t>儲蓄投資</t>
        </is>
      </c>
      <c r="D34" s="39" t="inlineStr">
        <is>
          <t>基金申購</t>
        </is>
      </c>
      <c r="E34" s="52" t="n">
        <v>5000</v>
      </c>
      <c r="F34" s="37" t="inlineStr">
        <is>
          <t>銀行轉帳</t>
        </is>
      </c>
      <c r="G34" s="37" t="inlineStr">
        <is>
          <t>玉山銀行</t>
        </is>
      </c>
      <c r="H34" s="39" t="inlineStr"/>
      <c r="I34" s="37" t="inlineStr"/>
    </row>
    <row r="35" ht="20" customHeight="1">
      <c r="A35" s="33" t="n">
        <v>31</v>
      </c>
      <c r="B35" s="33" t="inlineStr">
        <is>
          <t>2026/03/25</t>
        </is>
      </c>
      <c r="C35" s="48" t="inlineStr">
        <is>
          <t>服飾美容</t>
        </is>
      </c>
      <c r="D35" s="35" t="inlineStr">
        <is>
          <t>運動鞋</t>
        </is>
      </c>
      <c r="E35" s="49" t="n">
        <v>2800</v>
      </c>
      <c r="F35" s="33" t="inlineStr">
        <is>
          <t>信用卡</t>
        </is>
      </c>
      <c r="G35" s="33" t="inlineStr">
        <is>
          <t>玉山銀行</t>
        </is>
      </c>
      <c r="H35" s="35" t="inlineStr"/>
      <c r="I35" s="33" t="inlineStr"/>
    </row>
    <row r="36" ht="20" customHeight="1">
      <c r="A36" s="37" t="n">
        <v>32</v>
      </c>
      <c r="B36" s="37" t="inlineStr">
        <is>
          <t>2026/03/28</t>
        </is>
      </c>
      <c r="C36" s="51" t="inlineStr">
        <is>
          <t>其他支出</t>
        </is>
      </c>
      <c r="D36" s="39" t="inlineStr">
        <is>
          <t>禮品包裝</t>
        </is>
      </c>
      <c r="E36" s="42" t="n">
        <v>120</v>
      </c>
      <c r="F36" s="37" t="inlineStr">
        <is>
          <t>現金</t>
        </is>
      </c>
      <c r="G36" s="37" t="inlineStr">
        <is>
          <t>玉山銀行</t>
        </is>
      </c>
      <c r="H36" s="39" t="inlineStr"/>
      <c r="I36" s="37" t="inlineStr"/>
    </row>
    <row r="37" ht="20" customHeight="1">
      <c r="A37" s="53" t="n">
        <v>33</v>
      </c>
      <c r="B37" s="37" t="n"/>
      <c r="C37" s="37" t="n"/>
      <c r="D37" s="37" t="n"/>
      <c r="E37" s="37" t="n"/>
      <c r="F37" s="37" t="n"/>
      <c r="G37" s="37" t="n"/>
      <c r="H37" s="37" t="n"/>
      <c r="I37" s="37" t="n"/>
    </row>
    <row r="38" ht="20" customHeight="1">
      <c r="A38" s="54" t="n">
        <v>34</v>
      </c>
      <c r="B38" s="33" t="n"/>
      <c r="C38" s="33" t="n"/>
      <c r="D38" s="33" t="n"/>
      <c r="E38" s="33" t="n"/>
      <c r="F38" s="33" t="n"/>
      <c r="G38" s="33" t="n"/>
      <c r="H38" s="33" t="n"/>
      <c r="I38" s="33" t="n"/>
    </row>
    <row r="39" ht="20" customHeight="1">
      <c r="A39" s="53" t="n">
        <v>35</v>
      </c>
      <c r="B39" s="37" t="n"/>
      <c r="C39" s="37" t="n"/>
      <c r="D39" s="37" t="n"/>
      <c r="E39" s="37" t="n"/>
      <c r="F39" s="37" t="n"/>
      <c r="G39" s="37" t="n"/>
      <c r="H39" s="37" t="n"/>
      <c r="I39" s="37" t="n"/>
    </row>
    <row r="40" ht="20" customHeight="1">
      <c r="A40" s="54" t="n">
        <v>36</v>
      </c>
      <c r="B40" s="33" t="n"/>
      <c r="C40" s="33" t="n"/>
      <c r="D40" s="33" t="n"/>
      <c r="E40" s="33" t="n"/>
      <c r="F40" s="33" t="n"/>
      <c r="G40" s="33" t="n"/>
      <c r="H40" s="33" t="n"/>
      <c r="I40" s="33" t="n"/>
    </row>
    <row r="41" ht="20" customHeight="1">
      <c r="A41" s="53" t="n">
        <v>37</v>
      </c>
      <c r="B41" s="37" t="n"/>
      <c r="C41" s="37" t="n"/>
      <c r="D41" s="37" t="n"/>
      <c r="E41" s="37" t="n"/>
      <c r="F41" s="37" t="n"/>
      <c r="G41" s="37" t="n"/>
      <c r="H41" s="37" t="n"/>
      <c r="I41" s="37" t="n"/>
    </row>
    <row r="42" ht="20" customHeight="1">
      <c r="A42" s="54" t="n">
        <v>38</v>
      </c>
      <c r="B42" s="33" t="n"/>
      <c r="C42" s="33" t="n"/>
      <c r="D42" s="33" t="n"/>
      <c r="E42" s="33" t="n"/>
      <c r="F42" s="33" t="n"/>
      <c r="G42" s="33" t="n"/>
      <c r="H42" s="33" t="n"/>
      <c r="I42" s="33" t="n"/>
    </row>
    <row r="43" ht="20" customHeight="1">
      <c r="A43" s="53" t="n">
        <v>39</v>
      </c>
      <c r="B43" s="37" t="n"/>
      <c r="C43" s="37" t="n"/>
      <c r="D43" s="37" t="n"/>
      <c r="E43" s="37" t="n"/>
      <c r="F43" s="37" t="n"/>
      <c r="G43" s="37" t="n"/>
      <c r="H43" s="37" t="n"/>
      <c r="I43" s="37" t="n"/>
    </row>
    <row r="44" ht="20" customHeight="1">
      <c r="A44" s="54" t="n">
        <v>40</v>
      </c>
      <c r="B44" s="33" t="n"/>
      <c r="C44" s="33" t="n"/>
      <c r="D44" s="33" t="n"/>
      <c r="E44" s="33" t="n"/>
      <c r="F44" s="33" t="n"/>
      <c r="G44" s="33" t="n"/>
      <c r="H44" s="33" t="n"/>
      <c r="I44" s="33" t="n"/>
    </row>
    <row r="45" ht="20" customHeight="1">
      <c r="A45" s="53" t="n">
        <v>41</v>
      </c>
      <c r="B45" s="37" t="n"/>
      <c r="C45" s="37" t="n"/>
      <c r="D45" s="37" t="n"/>
      <c r="E45" s="37" t="n"/>
      <c r="F45" s="37" t="n"/>
      <c r="G45" s="37" t="n"/>
      <c r="H45" s="37" t="n"/>
      <c r="I45" s="37" t="n"/>
    </row>
    <row r="46" ht="20" customHeight="1">
      <c r="A46" s="54" t="n">
        <v>42</v>
      </c>
      <c r="B46" s="33" t="n"/>
      <c r="C46" s="33" t="n"/>
      <c r="D46" s="33" t="n"/>
      <c r="E46" s="33" t="n"/>
      <c r="F46" s="33" t="n"/>
      <c r="G46" s="33" t="n"/>
      <c r="H46" s="33" t="n"/>
      <c r="I46" s="33" t="n"/>
    </row>
    <row r="47" ht="20" customHeight="1">
      <c r="A47" s="53" t="n">
        <v>43</v>
      </c>
      <c r="B47" s="37" t="n"/>
      <c r="C47" s="37" t="n"/>
      <c r="D47" s="37" t="n"/>
      <c r="E47" s="37" t="n"/>
      <c r="F47" s="37" t="n"/>
      <c r="G47" s="37" t="n"/>
      <c r="H47" s="37" t="n"/>
      <c r="I47" s="37" t="n"/>
    </row>
    <row r="48" ht="20" customHeight="1">
      <c r="A48" s="54" t="n">
        <v>44</v>
      </c>
      <c r="B48" s="33" t="n"/>
      <c r="C48" s="33" t="n"/>
      <c r="D48" s="33" t="n"/>
      <c r="E48" s="33" t="n"/>
      <c r="F48" s="33" t="n"/>
      <c r="G48" s="33" t="n"/>
      <c r="H48" s="33" t="n"/>
      <c r="I48" s="33" t="n"/>
    </row>
    <row r="49" ht="20" customHeight="1">
      <c r="A49" s="53" t="n">
        <v>45</v>
      </c>
      <c r="B49" s="37" t="n"/>
      <c r="C49" s="37" t="n"/>
      <c r="D49" s="37" t="n"/>
      <c r="E49" s="37" t="n"/>
      <c r="F49" s="37" t="n"/>
      <c r="G49" s="37" t="n"/>
      <c r="H49" s="37" t="n"/>
      <c r="I49" s="37" t="n"/>
    </row>
    <row r="50" ht="20" customHeight="1">
      <c r="A50" s="54" t="n">
        <v>46</v>
      </c>
      <c r="B50" s="33" t="n"/>
      <c r="C50" s="33" t="n"/>
      <c r="D50" s="33" t="n"/>
      <c r="E50" s="33" t="n"/>
      <c r="F50" s="33" t="n"/>
      <c r="G50" s="33" t="n"/>
      <c r="H50" s="33" t="n"/>
      <c r="I50" s="33" t="n"/>
    </row>
    <row r="51" ht="20" customHeight="1">
      <c r="A51" s="53" t="n">
        <v>47</v>
      </c>
      <c r="B51" s="37" t="n"/>
      <c r="C51" s="37" t="n"/>
      <c r="D51" s="37" t="n"/>
      <c r="E51" s="37" t="n"/>
      <c r="F51" s="37" t="n"/>
      <c r="G51" s="37" t="n"/>
      <c r="H51" s="37" t="n"/>
      <c r="I51" s="37" t="n"/>
    </row>
    <row r="52" ht="20" customHeight="1">
      <c r="A52" s="54" t="n">
        <v>48</v>
      </c>
      <c r="B52" s="33" t="n"/>
      <c r="C52" s="33" t="n"/>
      <c r="D52" s="33" t="n"/>
      <c r="E52" s="33" t="n"/>
      <c r="F52" s="33" t="n"/>
      <c r="G52" s="33" t="n"/>
      <c r="H52" s="33" t="n"/>
      <c r="I52" s="33" t="n"/>
    </row>
    <row r="53" ht="20" customHeight="1">
      <c r="A53" s="53" t="n">
        <v>49</v>
      </c>
      <c r="B53" s="37" t="n"/>
      <c r="C53" s="37" t="n"/>
      <c r="D53" s="37" t="n"/>
      <c r="E53" s="37" t="n"/>
      <c r="F53" s="37" t="n"/>
      <c r="G53" s="37" t="n"/>
      <c r="H53" s="37" t="n"/>
      <c r="I53" s="37" t="n"/>
    </row>
    <row r="54" ht="20" customHeight="1">
      <c r="A54" s="54" t="n">
        <v>50</v>
      </c>
      <c r="B54" s="33" t="n"/>
      <c r="C54" s="33" t="n"/>
      <c r="D54" s="33" t="n"/>
      <c r="E54" s="33" t="n"/>
      <c r="F54" s="33" t="n"/>
      <c r="G54" s="33" t="n"/>
      <c r="H54" s="33" t="n"/>
      <c r="I54" s="33" t="n"/>
    </row>
    <row r="55" ht="20" customHeight="1">
      <c r="A55" s="53" t="n">
        <v>51</v>
      </c>
      <c r="B55" s="37" t="n"/>
      <c r="C55" s="37" t="n"/>
      <c r="D55" s="37" t="n"/>
      <c r="E55" s="37" t="n"/>
      <c r="F55" s="37" t="n"/>
      <c r="G55" s="37" t="n"/>
      <c r="H55" s="37" t="n"/>
      <c r="I55" s="37" t="n"/>
    </row>
    <row r="56" ht="20" customHeight="1">
      <c r="A56" s="54" t="n">
        <v>52</v>
      </c>
      <c r="B56" s="33" t="n"/>
      <c r="C56" s="33" t="n"/>
      <c r="D56" s="33" t="n"/>
      <c r="E56" s="33" t="n"/>
      <c r="F56" s="33" t="n"/>
      <c r="G56" s="33" t="n"/>
      <c r="H56" s="33" t="n"/>
      <c r="I56" s="33" t="n"/>
    </row>
    <row r="58" ht="26" customHeight="1">
      <c r="A58" s="55" t="inlineStr">
        <is>
          <t>📊 合計</t>
        </is>
      </c>
      <c r="E58" s="56">
        <f>SUM(E5:E57)</f>
        <v/>
      </c>
      <c r="F58" s="57" t="n"/>
      <c r="G58" s="57" t="n"/>
      <c r="H58" s="57" t="n"/>
      <c r="I58" s="57" t="n"/>
    </row>
  </sheetData>
  <mergeCells count="2">
    <mergeCell ref="A2:I2"/>
    <mergeCell ref="A58:D58"/>
  </mergeCells>
  <dataValidations count="2">
    <dataValidation sqref="C5:C57" showDropDown="0" showInputMessage="0" showErrorMessage="0" allowBlank="1" errorTitle="輸入錯誤" error="請從清單選擇類別" prompt="請選擇消費類別" type="list">
      <formula1>"餐飲食物,交通出行,住宅房租,生活日用,娛樂休閒,醫療健康,教育學習,服飾美容,儲蓄投資,其他支出"</formula1>
    </dataValidation>
    <dataValidation sqref="F5:F57" showDropDown="0" showInputMessage="0" showErrorMessage="0" allowBlank="1" type="list">
      <formula1>"現金,信用卡,LINE Pay,街口支付,悠遊卡,銀行轉帳,其他"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2FBE"/>
    <outlinePr summaryBelow="1" summaryRight="1"/>
    <pageSetUpPr/>
  </sheetPr>
  <dimension ref="A1:O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0" customWidth="1" min="8" max="8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2" customHeight="1">
      <c r="A2" s="32" t="inlineStr">
        <is>
          <t>📅  月份摘要  |  各類別每月支出統計</t>
        </is>
      </c>
    </row>
    <row r="3" ht="10" customHeight="1"/>
    <row r="4" ht="24" customHeight="1">
      <c r="A4" s="58" t="inlineStr">
        <is>
          <t>消費類別</t>
        </is>
      </c>
      <c r="B4" s="25" t="inlineStr">
        <is>
          <t>一月</t>
        </is>
      </c>
      <c r="C4" s="25" t="inlineStr">
        <is>
          <t>二月</t>
        </is>
      </c>
      <c r="D4" s="25" t="inlineStr">
        <is>
          <t>三月</t>
        </is>
      </c>
      <c r="E4" s="59" t="inlineStr">
        <is>
          <t>季度合計</t>
        </is>
      </c>
      <c r="F4" s="60" t="inlineStr">
        <is>
          <t>月均</t>
        </is>
      </c>
      <c r="G4" s="61" t="inlineStr">
        <is>
          <t>佔比</t>
        </is>
      </c>
      <c r="H4" s="62" t="inlineStr">
        <is>
          <t>趨勢</t>
        </is>
      </c>
    </row>
    <row r="5" ht="22" customHeight="1">
      <c r="A5" s="63" t="inlineStr">
        <is>
          <t>餐飲食物</t>
        </is>
      </c>
      <c r="B5" s="36" t="n">
        <v>865</v>
      </c>
      <c r="C5" s="36" t="n">
        <v>2720</v>
      </c>
      <c r="D5" s="36" t="n">
        <v>1005</v>
      </c>
      <c r="E5" s="64" t="n">
        <v>4590</v>
      </c>
      <c r="F5" s="65" t="n">
        <v>1530</v>
      </c>
      <c r="G5" s="66" t="n">
        <v>0.0656417590275295</v>
      </c>
      <c r="H5" s="67" t="inlineStr">
        <is>
          <t>▼</t>
        </is>
      </c>
    </row>
    <row r="6" ht="22" customHeight="1">
      <c r="A6" s="68" t="inlineStr">
        <is>
          <t>交通出行</t>
        </is>
      </c>
      <c r="B6" s="42" t="n">
        <v>1280</v>
      </c>
      <c r="C6" s="42" t="n">
        <v>180</v>
      </c>
      <c r="D6" s="42" t="n">
        <v>515</v>
      </c>
      <c r="E6" s="64" t="n">
        <v>1975</v>
      </c>
      <c r="F6" s="69" t="n">
        <v>658.3333333333334</v>
      </c>
      <c r="G6" s="70" t="n">
        <v>0.02824454772971041</v>
      </c>
      <c r="H6" s="71" t="inlineStr">
        <is>
          <t>▲</t>
        </is>
      </c>
    </row>
    <row r="7" ht="22" customHeight="1">
      <c r="A7" s="72" t="inlineStr">
        <is>
          <t>住宅房租</t>
        </is>
      </c>
      <c r="B7" s="36" t="n">
        <v>12000</v>
      </c>
      <c r="C7" s="36" t="n">
        <v>12000</v>
      </c>
      <c r="D7" s="36" t="n">
        <v>12000</v>
      </c>
      <c r="E7" s="64" t="n">
        <v>36000</v>
      </c>
      <c r="F7" s="65" t="n">
        <v>12000</v>
      </c>
      <c r="G7" s="66" t="n">
        <v>0.5148373257061137</v>
      </c>
      <c r="H7" s="73" t="inlineStr">
        <is>
          <t>─</t>
        </is>
      </c>
    </row>
    <row r="8" ht="22" customHeight="1">
      <c r="A8" s="74" t="inlineStr">
        <is>
          <t>生活日用</t>
        </is>
      </c>
      <c r="B8" s="42" t="n">
        <v>340</v>
      </c>
      <c r="C8" s="42" t="n">
        <v>420</v>
      </c>
      <c r="D8" s="42" t="n">
        <v>1280</v>
      </c>
      <c r="E8" s="64" t="n">
        <v>2040</v>
      </c>
      <c r="F8" s="69" t="n">
        <v>680</v>
      </c>
      <c r="G8" s="70" t="n">
        <v>0.02917411512334644</v>
      </c>
      <c r="H8" s="71" t="inlineStr">
        <is>
          <t>▲</t>
        </is>
      </c>
    </row>
    <row r="9" ht="22" customHeight="1">
      <c r="A9" s="75" t="inlineStr">
        <is>
          <t>娛樂休閒</t>
        </is>
      </c>
      <c r="B9" s="36" t="n">
        <v>270</v>
      </c>
      <c r="C9" s="36" t="n">
        <v>580</v>
      </c>
      <c r="D9" s="36" t="n">
        <v>1200</v>
      </c>
      <c r="E9" s="64" t="n">
        <v>2050</v>
      </c>
      <c r="F9" s="65" t="n">
        <v>683.3333333333334</v>
      </c>
      <c r="G9" s="66" t="n">
        <v>0.02931712549159814</v>
      </c>
      <c r="H9" s="76" t="inlineStr">
        <is>
          <t>▲</t>
        </is>
      </c>
    </row>
    <row r="10" ht="22" customHeight="1">
      <c r="A10" s="77" t="inlineStr">
        <is>
          <t>醫療健康</t>
        </is>
      </c>
      <c r="B10" s="42" t="n">
        <v>150</v>
      </c>
      <c r="C10" s="42" t="n">
        <v>900</v>
      </c>
      <c r="D10" s="42" t="n">
        <v>1000</v>
      </c>
      <c r="E10" s="64" t="n">
        <v>2050</v>
      </c>
      <c r="F10" s="69" t="n">
        <v>683.3333333333334</v>
      </c>
      <c r="G10" s="70" t="n">
        <v>0.02931712549159814</v>
      </c>
      <c r="H10" s="71" t="inlineStr">
        <is>
          <t>▲</t>
        </is>
      </c>
    </row>
    <row r="11" ht="22" customHeight="1">
      <c r="A11" s="78" t="inlineStr">
        <is>
          <t>教育學習</t>
        </is>
      </c>
      <c r="B11" s="36" t="n">
        <v>890</v>
      </c>
      <c r="C11" s="36" t="n">
        <v>2400</v>
      </c>
      <c r="D11" s="79" t="n"/>
      <c r="E11" s="64" t="n">
        <v>3290</v>
      </c>
      <c r="F11" s="65" t="n">
        <v>1096.666666666667</v>
      </c>
      <c r="G11" s="66" t="n">
        <v>0.04705041115480872</v>
      </c>
      <c r="H11" s="73" t="inlineStr">
        <is>
          <t>─</t>
        </is>
      </c>
    </row>
    <row r="12" ht="22" customHeight="1">
      <c r="A12" s="80" t="inlineStr">
        <is>
          <t>服飾美容</t>
        </is>
      </c>
      <c r="B12" s="42" t="n">
        <v>1580</v>
      </c>
      <c r="C12" s="42" t="n">
        <v>350</v>
      </c>
      <c r="D12" s="42" t="n">
        <v>2800</v>
      </c>
      <c r="E12" s="64" t="n">
        <v>4730</v>
      </c>
      <c r="F12" s="69" t="n">
        <v>1576.666666666667</v>
      </c>
      <c r="G12" s="70" t="n">
        <v>0.06764390418305327</v>
      </c>
      <c r="H12" s="71" t="inlineStr">
        <is>
          <t>▲</t>
        </is>
      </c>
    </row>
    <row r="13" ht="22" customHeight="1">
      <c r="A13" s="81" t="inlineStr">
        <is>
          <t>儲蓄投資</t>
        </is>
      </c>
      <c r="B13" s="36" t="n">
        <v>5000</v>
      </c>
      <c r="C13" s="36" t="n">
        <v>3000</v>
      </c>
      <c r="D13" s="36" t="n">
        <v>5000</v>
      </c>
      <c r="E13" s="64" t="n">
        <v>13000</v>
      </c>
      <c r="F13" s="65" t="n">
        <v>4333.333333333333</v>
      </c>
      <c r="G13" s="66" t="n">
        <v>0.1859134787272077</v>
      </c>
      <c r="H13" s="76" t="inlineStr">
        <is>
          <t>▲</t>
        </is>
      </c>
    </row>
    <row r="14" ht="22" customHeight="1">
      <c r="A14" s="82" t="inlineStr">
        <is>
          <t>其他支出</t>
        </is>
      </c>
      <c r="B14" s="42" t="n">
        <v>80</v>
      </c>
      <c r="C14" s="83" t="n"/>
      <c r="D14" s="42" t="n">
        <v>120</v>
      </c>
      <c r="E14" s="64" t="n">
        <v>200</v>
      </c>
      <c r="F14" s="69" t="n">
        <v>66.66666666666667</v>
      </c>
      <c r="G14" s="70" t="n">
        <v>0.002860207365033965</v>
      </c>
      <c r="H14" s="84" t="inlineStr">
        <is>
          <t>─</t>
        </is>
      </c>
    </row>
    <row r="15" ht="26" customHeight="1">
      <c r="A15" s="85" t="inlineStr">
        <is>
          <t>總計</t>
        </is>
      </c>
      <c r="B15" s="86" t="n">
        <v>22455</v>
      </c>
      <c r="C15" s="86" t="n">
        <v>22550</v>
      </c>
      <c r="D15" s="86" t="n">
        <v>24920</v>
      </c>
      <c r="E15" s="87" t="n">
        <v>69925</v>
      </c>
      <c r="F15" s="86" t="n">
        <v>23308.33333333333</v>
      </c>
      <c r="G15" s="88" t="n">
        <v>1</v>
      </c>
      <c r="H15" s="57" t="n"/>
    </row>
  </sheetData>
  <mergeCells count="1">
    <mergeCell ref="A2:O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4A261"/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32" t="inlineStr">
        <is>
          <t>💡  預算管理  |  預算 vs 實際支出</t>
        </is>
      </c>
    </row>
    <row r="3" ht="10" customHeight="1"/>
    <row r="4" ht="24" customHeight="1">
      <c r="A4" s="25" t="inlineStr">
        <is>
          <t>類別</t>
        </is>
      </c>
      <c r="B4" s="25" t="inlineStr">
        <is>
          <t>月預算(NT$)</t>
        </is>
      </c>
      <c r="C4" s="25" t="inlineStr">
        <is>
          <t>實際支出</t>
        </is>
      </c>
      <c r="D4" s="25" t="inlineStr">
        <is>
          <t>差額</t>
        </is>
      </c>
      <c r="E4" s="25" t="inlineStr">
        <is>
          <t>使用率%</t>
        </is>
      </c>
      <c r="F4" s="25" t="inlineStr">
        <is>
          <t>狀態</t>
        </is>
      </c>
      <c r="G4" s="60" t="inlineStr">
        <is>
          <t>季預算</t>
        </is>
      </c>
      <c r="H4" s="60" t="inlineStr">
        <is>
          <t>季實際</t>
        </is>
      </c>
      <c r="I4" s="60" t="inlineStr">
        <is>
          <t>季差額</t>
        </is>
      </c>
      <c r="J4" s="60" t="inlineStr">
        <is>
          <t>季使用率</t>
        </is>
      </c>
      <c r="K4" s="60" t="inlineStr">
        <is>
          <t>評級</t>
        </is>
      </c>
    </row>
    <row r="5" ht="22" customHeight="1">
      <c r="A5" s="89" t="inlineStr">
        <is>
          <t>餐飲食物</t>
        </is>
      </c>
      <c r="B5" s="79" t="n">
        <v>8000</v>
      </c>
      <c r="C5" s="79" t="n">
        <v>1530</v>
      </c>
      <c r="D5" s="90" t="n">
        <v>6470</v>
      </c>
      <c r="E5" s="66" t="n">
        <v>0.19125</v>
      </c>
      <c r="F5" s="91" t="inlineStr">
        <is>
          <t>💚 良好</t>
        </is>
      </c>
      <c r="G5" s="79" t="n">
        <v>24000</v>
      </c>
      <c r="H5" s="79" t="n">
        <v>4590</v>
      </c>
      <c r="I5" s="90" t="n">
        <v>19410</v>
      </c>
      <c r="J5" s="66" t="n">
        <v>0.19125</v>
      </c>
      <c r="K5" s="92" t="inlineStr">
        <is>
          <t>A</t>
        </is>
      </c>
    </row>
    <row r="6" ht="22" customHeight="1">
      <c r="A6" s="93" t="inlineStr">
        <is>
          <t>交通出行</t>
        </is>
      </c>
      <c r="B6" s="83" t="n">
        <v>3000</v>
      </c>
      <c r="C6" s="83" t="n">
        <v>658.3333333333334</v>
      </c>
      <c r="D6" s="94" t="n">
        <v>2341.666666666667</v>
      </c>
      <c r="E6" s="70" t="n">
        <v>0.2194444444444445</v>
      </c>
      <c r="F6" s="95" t="inlineStr">
        <is>
          <t>💚 良好</t>
        </is>
      </c>
      <c r="G6" s="83" t="n">
        <v>9000</v>
      </c>
      <c r="H6" s="83" t="n">
        <v>1975</v>
      </c>
      <c r="I6" s="94" t="n">
        <v>7025</v>
      </c>
      <c r="J6" s="70" t="n">
        <v>0.2194444444444444</v>
      </c>
      <c r="K6" s="96" t="inlineStr">
        <is>
          <t>A</t>
        </is>
      </c>
    </row>
    <row r="7" ht="22" customHeight="1">
      <c r="A7" s="97" t="inlineStr">
        <is>
          <t>住宅房租</t>
        </is>
      </c>
      <c r="B7" s="79" t="n">
        <v>15000</v>
      </c>
      <c r="C7" s="79" t="n">
        <v>12000</v>
      </c>
      <c r="D7" s="90" t="n">
        <v>3000</v>
      </c>
      <c r="E7" s="66" t="n">
        <v>0.8</v>
      </c>
      <c r="F7" s="98" t="inlineStr">
        <is>
          <t>🟢 正常</t>
        </is>
      </c>
      <c r="G7" s="79" t="n">
        <v>45000</v>
      </c>
      <c r="H7" s="79" t="n">
        <v>36000</v>
      </c>
      <c r="I7" s="90" t="n">
        <v>9000</v>
      </c>
      <c r="J7" s="66" t="n">
        <v>0.8</v>
      </c>
      <c r="K7" s="99" t="inlineStr">
        <is>
          <t>B</t>
        </is>
      </c>
    </row>
    <row r="8" ht="22" customHeight="1">
      <c r="A8" s="100" t="inlineStr">
        <is>
          <t>生活日用</t>
        </is>
      </c>
      <c r="B8" s="83" t="n">
        <v>3000</v>
      </c>
      <c r="C8" s="83" t="n">
        <v>680</v>
      </c>
      <c r="D8" s="94" t="n">
        <v>2320</v>
      </c>
      <c r="E8" s="70" t="n">
        <v>0.2266666666666667</v>
      </c>
      <c r="F8" s="95" t="inlineStr">
        <is>
          <t>💚 良好</t>
        </is>
      </c>
      <c r="G8" s="83" t="n">
        <v>9000</v>
      </c>
      <c r="H8" s="83" t="n">
        <v>2040</v>
      </c>
      <c r="I8" s="94" t="n">
        <v>6960</v>
      </c>
      <c r="J8" s="70" t="n">
        <v>0.2266666666666667</v>
      </c>
      <c r="K8" s="96" t="inlineStr">
        <is>
          <t>A</t>
        </is>
      </c>
    </row>
    <row r="9" ht="22" customHeight="1">
      <c r="A9" s="101" t="inlineStr">
        <is>
          <t>娛樂休閒</t>
        </is>
      </c>
      <c r="B9" s="79" t="n">
        <v>3000</v>
      </c>
      <c r="C9" s="79" t="n">
        <v>683.3333333333334</v>
      </c>
      <c r="D9" s="90" t="n">
        <v>2316.666666666667</v>
      </c>
      <c r="E9" s="66" t="n">
        <v>0.2277777777777778</v>
      </c>
      <c r="F9" s="91" t="inlineStr">
        <is>
          <t>💚 良好</t>
        </is>
      </c>
      <c r="G9" s="79" t="n">
        <v>9000</v>
      </c>
      <c r="H9" s="79" t="n">
        <v>2050</v>
      </c>
      <c r="I9" s="90" t="n">
        <v>6950</v>
      </c>
      <c r="J9" s="66" t="n">
        <v>0.2277777777777778</v>
      </c>
      <c r="K9" s="92" t="inlineStr">
        <is>
          <t>A</t>
        </is>
      </c>
    </row>
    <row r="10" ht="22" customHeight="1">
      <c r="A10" s="102" t="inlineStr">
        <is>
          <t>醫療健康</t>
        </is>
      </c>
      <c r="B10" s="83" t="n">
        <v>2000</v>
      </c>
      <c r="C10" s="83" t="n">
        <v>683.3333333333334</v>
      </c>
      <c r="D10" s="94" t="n">
        <v>1316.666666666667</v>
      </c>
      <c r="E10" s="70" t="n">
        <v>0.3416666666666667</v>
      </c>
      <c r="F10" s="95" t="inlineStr">
        <is>
          <t>💚 良好</t>
        </is>
      </c>
      <c r="G10" s="83" t="n">
        <v>6000</v>
      </c>
      <c r="H10" s="83" t="n">
        <v>2050</v>
      </c>
      <c r="I10" s="94" t="n">
        <v>3950</v>
      </c>
      <c r="J10" s="70" t="n">
        <v>0.3416666666666667</v>
      </c>
      <c r="K10" s="96" t="inlineStr">
        <is>
          <t>A</t>
        </is>
      </c>
    </row>
    <row r="11" ht="22" customHeight="1">
      <c r="A11" s="103" t="inlineStr">
        <is>
          <t>教育學習</t>
        </is>
      </c>
      <c r="B11" s="79" t="n">
        <v>3000</v>
      </c>
      <c r="C11" s="79" t="n">
        <v>1096.666666666667</v>
      </c>
      <c r="D11" s="90" t="n">
        <v>1903.333333333333</v>
      </c>
      <c r="E11" s="66" t="n">
        <v>0.3655555555555556</v>
      </c>
      <c r="F11" s="91" t="inlineStr">
        <is>
          <t>💚 良好</t>
        </is>
      </c>
      <c r="G11" s="79" t="n">
        <v>9000</v>
      </c>
      <c r="H11" s="79" t="n">
        <v>3290</v>
      </c>
      <c r="I11" s="90" t="n">
        <v>5710</v>
      </c>
      <c r="J11" s="66" t="n">
        <v>0.3655555555555556</v>
      </c>
      <c r="K11" s="92" t="inlineStr">
        <is>
          <t>A</t>
        </is>
      </c>
    </row>
    <row r="12" ht="22" customHeight="1">
      <c r="A12" s="104" t="inlineStr">
        <is>
          <t>服飾美容</t>
        </is>
      </c>
      <c r="B12" s="83" t="n">
        <v>2000</v>
      </c>
      <c r="C12" s="83" t="n">
        <v>1576.666666666667</v>
      </c>
      <c r="D12" s="94" t="n">
        <v>423.3333333333333</v>
      </c>
      <c r="E12" s="70" t="n">
        <v>0.7883333333333333</v>
      </c>
      <c r="F12" s="105" t="inlineStr">
        <is>
          <t>🟢 正常</t>
        </is>
      </c>
      <c r="G12" s="83" t="n">
        <v>6000</v>
      </c>
      <c r="H12" s="83" t="n">
        <v>4730</v>
      </c>
      <c r="I12" s="94" t="n">
        <v>1270</v>
      </c>
      <c r="J12" s="70" t="n">
        <v>0.7883333333333333</v>
      </c>
      <c r="K12" s="106" t="inlineStr">
        <is>
          <t>B</t>
        </is>
      </c>
    </row>
    <row r="13" ht="22" customHeight="1">
      <c r="A13" s="107" t="inlineStr">
        <is>
          <t>儲蓄投資</t>
        </is>
      </c>
      <c r="B13" s="79" t="n">
        <v>10000</v>
      </c>
      <c r="C13" s="79" t="n">
        <v>4333.333333333333</v>
      </c>
      <c r="D13" s="90" t="n">
        <v>5666.666666666667</v>
      </c>
      <c r="E13" s="66" t="n">
        <v>0.4333333333333333</v>
      </c>
      <c r="F13" s="91" t="inlineStr">
        <is>
          <t>💚 良好</t>
        </is>
      </c>
      <c r="G13" s="79" t="n">
        <v>30000</v>
      </c>
      <c r="H13" s="79" t="n">
        <v>13000</v>
      </c>
      <c r="I13" s="90" t="n">
        <v>17000</v>
      </c>
      <c r="J13" s="66" t="n">
        <v>0.4333333333333333</v>
      </c>
      <c r="K13" s="92" t="inlineStr">
        <is>
          <t>A</t>
        </is>
      </c>
    </row>
    <row r="14" ht="22" customHeight="1">
      <c r="A14" s="108" t="inlineStr">
        <is>
          <t>其他支出</t>
        </is>
      </c>
      <c r="B14" s="83" t="n">
        <v>1000</v>
      </c>
      <c r="C14" s="83" t="n">
        <v>66.66666666666667</v>
      </c>
      <c r="D14" s="94" t="n">
        <v>933.3333333333334</v>
      </c>
      <c r="E14" s="70" t="n">
        <v>0.06666666666666667</v>
      </c>
      <c r="F14" s="95" t="inlineStr">
        <is>
          <t>💚 良好</t>
        </is>
      </c>
      <c r="G14" s="83" t="n">
        <v>3000</v>
      </c>
      <c r="H14" s="83" t="n">
        <v>200</v>
      </c>
      <c r="I14" s="94" t="n">
        <v>2800</v>
      </c>
      <c r="J14" s="70" t="n">
        <v>0.06666666666666667</v>
      </c>
      <c r="K14" s="96" t="inlineStr">
        <is>
          <t>A</t>
        </is>
      </c>
    </row>
    <row r="15" ht="26" customHeight="1">
      <c r="A15" s="109" t="inlineStr">
        <is>
          <t>月度總計</t>
        </is>
      </c>
      <c r="B15" s="86" t="n">
        <v>50000</v>
      </c>
      <c r="C15" s="86" t="n">
        <v>23308.33333333334</v>
      </c>
      <c r="D15" s="86" t="n">
        <v>26691.66666666666</v>
      </c>
      <c r="E15" s="88" t="n">
        <v>0.4661666666666667</v>
      </c>
      <c r="F15" s="109" t="inlineStr"/>
      <c r="G15" s="86" t="n">
        <v>150000</v>
      </c>
      <c r="H15" s="86" t="n">
        <v>69925</v>
      </c>
      <c r="I15" s="86" t="n">
        <v>80075</v>
      </c>
      <c r="J15" s="88" t="n">
        <v>0.4661666666666667</v>
      </c>
      <c r="K15" s="109" t="inlineStr"/>
    </row>
  </sheetData>
  <mergeCells count="1">
    <mergeCell ref="A2:K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64748B"/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50" customWidth="1" min="3" max="3"/>
    <col width="4" customWidth="1" min="4" max="4"/>
  </cols>
  <sheetData>
    <row r="1" ht="10" customHeight="1">
      <c r="A1" s="1" t="n"/>
      <c r="B1" s="1" t="n"/>
      <c r="C1" s="1" t="n"/>
      <c r="D1" s="1" t="n"/>
    </row>
    <row r="2" ht="36" customHeight="1">
      <c r="B2" s="110" t="inlineStr">
        <is>
          <t>📖  使用說明  |  User Guide</t>
        </is>
      </c>
    </row>
    <row r="3" ht="12" customHeight="1"/>
    <row r="4" ht="28" customHeight="1">
      <c r="B4" s="111" t="inlineStr">
        <is>
          <t xml:space="preserve">  工作表說明</t>
        </is>
      </c>
    </row>
    <row r="5" ht="22" customHeight="1">
      <c r="B5" s="112" t="inlineStr">
        <is>
          <t xml:space="preserve">  📊 儀表板</t>
        </is>
      </c>
      <c r="C5" s="35" t="inlineStr">
        <is>
          <t xml:space="preserve">  財務總覽：KPI 摘要卡、月支出長條圖、類別圓餅圖、最近消費</t>
        </is>
      </c>
    </row>
    <row r="6" ht="22" customHeight="1">
      <c r="B6" s="112" t="inlineStr">
        <is>
          <t xml:space="preserve">  📝 記帳明細</t>
        </is>
      </c>
      <c r="C6" s="35" t="inlineStr">
        <is>
          <t xml:space="preserve">  逐筆手動輸入支出；類別與付款方式有下拉選單輔助輸入</t>
        </is>
      </c>
    </row>
    <row r="7" ht="22" customHeight="1">
      <c r="B7" s="112" t="inlineStr">
        <is>
          <t xml:space="preserve">  📅 月份摘要</t>
        </is>
      </c>
      <c r="C7" s="35" t="inlineStr">
        <is>
          <t xml:space="preserve">  依月份×類別交叉統計，附趨勢箭頭與佔比</t>
        </is>
      </c>
    </row>
    <row r="8" ht="22" customHeight="1">
      <c r="B8" s="112" t="inlineStr">
        <is>
          <t xml:space="preserve">  💡 預算管理</t>
        </is>
      </c>
      <c r="C8" s="35" t="inlineStr">
        <is>
          <t xml:space="preserve">  設定月預算，自動計算使用率與超支狀態評級</t>
        </is>
      </c>
    </row>
    <row r="10" ht="28" customHeight="1">
      <c r="B10" s="111" t="inlineStr">
        <is>
          <t xml:space="preserve">  如何新增記帳</t>
        </is>
      </c>
    </row>
    <row r="11" ht="22" customHeight="1">
      <c r="B11" s="112" t="inlineStr">
        <is>
          <t xml:space="preserve">  Step 1</t>
        </is>
      </c>
      <c r="C11" s="35" t="inlineStr">
        <is>
          <t xml:space="preserve">  切換到『📝 記帳明細』工作表</t>
        </is>
      </c>
    </row>
    <row r="12" ht="22" customHeight="1">
      <c r="B12" s="112" t="inlineStr">
        <is>
          <t xml:space="preserve">  Step 2</t>
        </is>
      </c>
      <c r="C12" s="35" t="inlineStr">
        <is>
          <t xml:space="preserve">  在最後一筆空白行輸入：日期（格式 YYYY/MM/DD）</t>
        </is>
      </c>
    </row>
    <row r="13" ht="22" customHeight="1">
      <c r="B13" s="112" t="inlineStr">
        <is>
          <t xml:space="preserve">  Step 3</t>
        </is>
      </c>
      <c r="C13" s="35" t="inlineStr">
        <is>
          <t xml:space="preserve">  點選「類別」欄位，從下拉選單選擇消費類別</t>
        </is>
      </c>
    </row>
    <row r="14" ht="22" customHeight="1">
      <c r="B14" s="112" t="inlineStr">
        <is>
          <t xml:space="preserve">  Step 4</t>
        </is>
      </c>
      <c r="C14" s="35" t="inlineStr">
        <is>
          <t xml:space="preserve">  填入消費說明、金額（純數字）、付款方式</t>
        </is>
      </c>
    </row>
    <row r="15" ht="22" customHeight="1">
      <c r="B15" s="112" t="inlineStr">
        <is>
          <t xml:space="preserve">  Step 5</t>
        </is>
      </c>
      <c r="C15" s="35" t="inlineStr">
        <is>
          <t xml:space="preserve">  備註欄可記錄發票號碼或其他資訊</t>
        </is>
      </c>
    </row>
    <row r="17" ht="28" customHeight="1">
      <c r="B17" s="111" t="inlineStr">
        <is>
          <t xml:space="preserve">  顏色規則說明</t>
        </is>
      </c>
    </row>
    <row r="18" ht="22" customHeight="1">
      <c r="B18" s="112" t="inlineStr">
        <is>
          <t xml:space="preserve">  金額標色</t>
        </is>
      </c>
      <c r="C18" s="35" t="inlineStr">
        <is>
          <t xml:space="preserve">  NT$5,000 以上：紅色字體 | NT$1,000 以上：橙色字體</t>
        </is>
      </c>
    </row>
    <row r="19" ht="22" customHeight="1">
      <c r="B19" s="112" t="inlineStr">
        <is>
          <t xml:space="preserve">  狀態標示</t>
        </is>
      </c>
      <c r="C19" s="35" t="inlineStr">
        <is>
          <t xml:space="preserve">  💚 良好(≤60%) | 🟢 正常(≤85%) | 🟡 接近(≤100%) | 🔴 超支(&gt;100%)</t>
        </is>
      </c>
    </row>
    <row r="20" ht="22" customHeight="1">
      <c r="B20" s="112" t="inlineStr">
        <is>
          <t xml:space="preserve">  趨勢箭頭</t>
        </is>
      </c>
      <c r="C20" s="35" t="inlineStr">
        <is>
          <t xml:space="preserve">  ▲ 紅色 = 支出上升 | ▼ 綠色 = 支出下降 | ─ 持平</t>
        </is>
      </c>
    </row>
    <row r="22" ht="28" customHeight="1">
      <c r="B22" s="111" t="inlineStr">
        <is>
          <t xml:space="preserve">  快捷技巧</t>
        </is>
      </c>
    </row>
    <row r="23" ht="22" customHeight="1">
      <c r="B23" s="112" t="inlineStr">
        <is>
          <t xml:space="preserve">  Ctrl+;</t>
        </is>
      </c>
      <c r="C23" s="35" t="inlineStr">
        <is>
          <t xml:space="preserve">  快速輸入今天日期</t>
        </is>
      </c>
    </row>
    <row r="24" ht="22" customHeight="1">
      <c r="B24" s="112" t="inlineStr">
        <is>
          <t xml:space="preserve">  Alt+↓</t>
        </is>
      </c>
      <c r="C24" s="35" t="inlineStr">
        <is>
          <t xml:space="preserve">  在下拉選單欄位開啟清單</t>
        </is>
      </c>
    </row>
    <row r="25" ht="22" customHeight="1">
      <c r="B25" s="112" t="inlineStr">
        <is>
          <t xml:space="preserve">  Ctrl+Shift+$</t>
        </is>
      </c>
      <c r="C25" s="35" t="inlineStr">
        <is>
          <t xml:space="preserve">  快速套用貨幣格式</t>
        </is>
      </c>
    </row>
    <row r="26" ht="22" customHeight="1">
      <c r="B26" s="112" t="inlineStr">
        <is>
          <t xml:space="preserve">  F2</t>
        </is>
      </c>
      <c r="C26" s="35" t="inlineStr">
        <is>
          <t xml:space="preserve">  進入儲存格編輯模式</t>
        </is>
      </c>
    </row>
    <row r="29" ht="30" customHeight="1">
      <c r="B29" s="113" t="inlineStr">
        <is>
          <t>💰  個人財務記帳本  |  設計精良，記帳輕鬆  |  祝您財務健康 🎉</t>
        </is>
      </c>
    </row>
  </sheetData>
  <mergeCells count="6">
    <mergeCell ref="B2:C2"/>
    <mergeCell ref="B29:C29"/>
    <mergeCell ref="B10:C10"/>
    <mergeCell ref="B22:C22"/>
    <mergeCell ref="B17:C17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2026-05-19T04:45:10Z</dcterms:created>
  <dcterms:modified xsi:type="dcterms:W3CDTF">2026-05-19T04:45:11Z</dcterms:modified>
</cp:coreProperties>
</file>